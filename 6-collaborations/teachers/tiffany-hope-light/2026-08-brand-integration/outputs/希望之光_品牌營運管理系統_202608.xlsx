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esktop\Manus\projects\2026-08-09-hope-light-brand-integration\outputs\"/>
    </mc:Choice>
  </mc:AlternateContent>
  <xr:revisionPtr revIDLastSave="0" documentId="13_ncr:1_{75A86D30-9CCC-450A-9924-55379568B4EA}" xr6:coauthVersionLast="47" xr6:coauthVersionMax="47" xr10:uidLastSave="{00000000-0000-0000-0000-000000000000}"/>
  <bookViews>
    <workbookView xWindow="-108" yWindow="-108" windowWidth="23256" windowHeight="12456" firstSheet="2" activeTab="2" xr2:uid="{00000000-000D-0000-FFFF-FFFF00000000}"/>
  </bookViews>
  <sheets>
    <sheet name="00_使用說明" sheetId="1" r:id="rId1"/>
    <sheet name="01_品牌儀表板" sheetId="2" r:id="rId2"/>
    <sheet name="02_90天路徑" sheetId="3" r:id="rId3"/>
    <sheet name="03_產品主檔" sheetId="4" r:id="rId4"/>
    <sheet name="04_產品介紹" sheetId="5" r:id="rId5"/>
    <sheet name="05_庫存異動" sheetId="6" r:id="rId6"/>
    <sheet name="06_庫存總覽" sheetId="7" r:id="rId7"/>
    <sheet name="07_銷售訂單" sheetId="8" r:id="rId8"/>
    <sheet name="08_客戶CRM" sheetId="9" r:id="rId9"/>
    <sheet name="09_服務紀錄" sheetId="10" r:id="rId10"/>
    <sheet name="10_回訪任務" sheetId="11" r:id="rId11"/>
    <sheet name="11_內容主題庫" sheetId="12" r:id="rId12"/>
    <sheet name="12_內容成效" sheetId="13" r:id="rId13"/>
    <sheet name="13_希望故事庫" sheetId="14" r:id="rId14"/>
    <sheet name="14_LINE漏斗" sheetId="15" r:id="rId15"/>
    <sheet name="15_LINE回覆SOP" sheetId="16" r:id="rId16"/>
    <sheet name="16_分潤試算" sheetId="17" r:id="rId17"/>
    <sheet name="17_品牌決策" sheetId="18" r:id="rId18"/>
    <sheet name="18_資料核對" sheetId="19" r:id="rId19"/>
    <sheet name="19_選單" sheetId="20" state="hidden" r:id="rId20"/>
  </sheets>
  <definedNames>
    <definedName name="CHANNEL_LIST">'19_選單'!$G$2:$G$10</definedName>
    <definedName name="CONSENT_STATUS">'19_選單'!$O$2:$O$7</definedName>
    <definedName name="CONTENT_STATUS">'19_選單'!$L$2:$L$9</definedName>
    <definedName name="CONTENT_TYPE">'19_選單'!$M$2:$M$7</definedName>
    <definedName name="CRM_STATUS">'19_選單'!$F$2:$F$9</definedName>
    <definedName name="CUSTOMER_TYPE">'19_選單'!$E$2:$E$7</definedName>
    <definedName name="FIVE_DIM_LIST">'19_選單'!$H$2:$H$8</definedName>
    <definedName name="FULFILL_STATUS">'19_選單'!$J$2:$J$7</definedName>
    <definedName name="FUNNEL_STAGE">'19_選單'!$N$2:$N$10</definedName>
    <definedName name="GENERAL_STATUS">'19_選單'!$D$2:$D$8</definedName>
    <definedName name="INV_TYPE_LIST">'19_選單'!$B$2:$B$10</definedName>
    <definedName name="OWNER_LIST">'19_選單'!$Q$2:$Q$7</definedName>
    <definedName name="PAYMENT_STATUS">'19_選單'!$I$2:$I$8</definedName>
    <definedName name="PLATFORM_LIST">'19_選單'!$R$2:$R$7</definedName>
    <definedName name="PRIVACY_LEVEL">'19_選單'!$P$2:$P$5</definedName>
    <definedName name="RISK_LEVEL">'19_選單'!$K$2:$K$4</definedName>
    <definedName name="SKU_LIST">'19_選單'!$A$2:$A$24</definedName>
    <definedName name="YES_NO_UNKNOWN">'19_選單'!$C$2:$C$4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6" i="17" l="1"/>
  <c r="F36" i="17"/>
  <c r="D36" i="17"/>
  <c r="G36" i="17" s="1"/>
  <c r="C36" i="17"/>
  <c r="J35" i="17"/>
  <c r="G35" i="17"/>
  <c r="F35" i="17"/>
  <c r="D35" i="17"/>
  <c r="C35" i="17"/>
  <c r="J34" i="17"/>
  <c r="F34" i="17"/>
  <c r="D34" i="17"/>
  <c r="G34" i="17" s="1"/>
  <c r="C34" i="17"/>
  <c r="J33" i="17"/>
  <c r="G33" i="17"/>
  <c r="F33" i="17"/>
  <c r="D33" i="17"/>
  <c r="C33" i="17"/>
  <c r="J32" i="17"/>
  <c r="G32" i="17"/>
  <c r="F32" i="17"/>
  <c r="D32" i="17"/>
  <c r="C32" i="17"/>
  <c r="J31" i="17"/>
  <c r="D31" i="17"/>
  <c r="C31" i="17"/>
  <c r="F31" i="17" s="1"/>
  <c r="J30" i="17"/>
  <c r="G30" i="17"/>
  <c r="F30" i="17"/>
  <c r="D30" i="17"/>
  <c r="C30" i="17"/>
  <c r="J29" i="17"/>
  <c r="F29" i="17"/>
  <c r="D29" i="17"/>
  <c r="G29" i="17" s="1"/>
  <c r="C29" i="17"/>
  <c r="J28" i="17"/>
  <c r="D28" i="17"/>
  <c r="C28" i="17"/>
  <c r="F28" i="17" s="1"/>
  <c r="G28" i="17" s="1"/>
  <c r="J27" i="17"/>
  <c r="F27" i="17"/>
  <c r="D27" i="17"/>
  <c r="C27" i="17"/>
  <c r="J26" i="17"/>
  <c r="F26" i="17"/>
  <c r="G26" i="17" s="1"/>
  <c r="D26" i="17"/>
  <c r="C26" i="17"/>
  <c r="J25" i="17"/>
  <c r="F25" i="17"/>
  <c r="D25" i="17"/>
  <c r="G25" i="17" s="1"/>
  <c r="C25" i="17"/>
  <c r="J24" i="17"/>
  <c r="D24" i="17"/>
  <c r="G24" i="17" s="1"/>
  <c r="C24" i="17"/>
  <c r="F24" i="17" s="1"/>
  <c r="J23" i="17"/>
  <c r="F23" i="17"/>
  <c r="D23" i="17"/>
  <c r="G23" i="17" s="1"/>
  <c r="C23" i="17"/>
  <c r="J22" i="17"/>
  <c r="F22" i="17"/>
  <c r="D22" i="17"/>
  <c r="G22" i="17" s="1"/>
  <c r="C22" i="17"/>
  <c r="J21" i="17"/>
  <c r="F21" i="17"/>
  <c r="G21" i="17" s="1"/>
  <c r="D21" i="17"/>
  <c r="C21" i="17"/>
  <c r="J20" i="17"/>
  <c r="D20" i="17"/>
  <c r="C20" i="17"/>
  <c r="F20" i="17" s="1"/>
  <c r="J19" i="17"/>
  <c r="F19" i="17"/>
  <c r="D19" i="17"/>
  <c r="C19" i="17"/>
  <c r="J18" i="17"/>
  <c r="F18" i="17"/>
  <c r="D18" i="17"/>
  <c r="G18" i="17" s="1"/>
  <c r="C18" i="17"/>
  <c r="J17" i="17"/>
  <c r="I10" i="17" s="1"/>
  <c r="D17" i="17"/>
  <c r="C17" i="17"/>
  <c r="F17" i="17" s="1"/>
  <c r="G17" i="17" s="1"/>
  <c r="J16" i="17"/>
  <c r="D16" i="17"/>
  <c r="C16" i="17"/>
  <c r="F16" i="17" s="1"/>
  <c r="J15" i="17"/>
  <c r="D15" i="17"/>
  <c r="G15" i="17" s="1"/>
  <c r="C15" i="17"/>
  <c r="F15" i="17" s="1"/>
  <c r="J14" i="17"/>
  <c r="G14" i="17"/>
  <c r="F14" i="17"/>
  <c r="D14" i="17"/>
  <c r="C14" i="17"/>
  <c r="T204" i="13"/>
  <c r="S204" i="13"/>
  <c r="R204" i="13"/>
  <c r="Q204" i="13"/>
  <c r="T203" i="13"/>
  <c r="S203" i="13"/>
  <c r="R203" i="13"/>
  <c r="Q203" i="13"/>
  <c r="T202" i="13"/>
  <c r="S202" i="13"/>
  <c r="R202" i="13"/>
  <c r="Q202" i="13"/>
  <c r="T201" i="13"/>
  <c r="S201" i="13"/>
  <c r="R201" i="13"/>
  <c r="Q201" i="13"/>
  <c r="T200" i="13"/>
  <c r="S200" i="13"/>
  <c r="R200" i="13"/>
  <c r="Q200" i="13"/>
  <c r="T199" i="13"/>
  <c r="S199" i="13"/>
  <c r="R199" i="13"/>
  <c r="Q199" i="13"/>
  <c r="T198" i="13"/>
  <c r="S198" i="13"/>
  <c r="R198" i="13"/>
  <c r="Q198" i="13"/>
  <c r="T197" i="13"/>
  <c r="S197" i="13"/>
  <c r="R197" i="13"/>
  <c r="Q197" i="13"/>
  <c r="T196" i="13"/>
  <c r="S196" i="13"/>
  <c r="R196" i="13"/>
  <c r="Q196" i="13"/>
  <c r="T195" i="13"/>
  <c r="S195" i="13"/>
  <c r="R195" i="13"/>
  <c r="Q195" i="13"/>
  <c r="T194" i="13"/>
  <c r="S194" i="13"/>
  <c r="R194" i="13"/>
  <c r="Q194" i="13"/>
  <c r="T193" i="13"/>
  <c r="S193" i="13"/>
  <c r="R193" i="13"/>
  <c r="Q193" i="13"/>
  <c r="T192" i="13"/>
  <c r="S192" i="13"/>
  <c r="R192" i="13"/>
  <c r="Q192" i="13"/>
  <c r="T191" i="13"/>
  <c r="S191" i="13"/>
  <c r="R191" i="13"/>
  <c r="Q191" i="13"/>
  <c r="T190" i="13"/>
  <c r="S190" i="13"/>
  <c r="R190" i="13"/>
  <c r="Q190" i="13"/>
  <c r="T189" i="13"/>
  <c r="S189" i="13"/>
  <c r="R189" i="13"/>
  <c r="Q189" i="13"/>
  <c r="T188" i="13"/>
  <c r="S188" i="13"/>
  <c r="R188" i="13"/>
  <c r="Q188" i="13"/>
  <c r="T187" i="13"/>
  <c r="S187" i="13"/>
  <c r="R187" i="13"/>
  <c r="Q187" i="13"/>
  <c r="T186" i="13"/>
  <c r="S186" i="13"/>
  <c r="R186" i="13"/>
  <c r="Q186" i="13"/>
  <c r="T185" i="13"/>
  <c r="S185" i="13"/>
  <c r="R185" i="13"/>
  <c r="Q185" i="13"/>
  <c r="T184" i="13"/>
  <c r="S184" i="13"/>
  <c r="R184" i="13"/>
  <c r="Q184" i="13"/>
  <c r="T183" i="13"/>
  <c r="S183" i="13"/>
  <c r="R183" i="13"/>
  <c r="Q183" i="13"/>
  <c r="T182" i="13"/>
  <c r="S182" i="13"/>
  <c r="R182" i="13"/>
  <c r="Q182" i="13"/>
  <c r="T181" i="13"/>
  <c r="S181" i="13"/>
  <c r="R181" i="13"/>
  <c r="Q181" i="13"/>
  <c r="T180" i="13"/>
  <c r="S180" i="13"/>
  <c r="R180" i="13"/>
  <c r="Q180" i="13"/>
  <c r="T179" i="13"/>
  <c r="S179" i="13"/>
  <c r="R179" i="13"/>
  <c r="Q179" i="13"/>
  <c r="T178" i="13"/>
  <c r="S178" i="13"/>
  <c r="R178" i="13"/>
  <c r="Q178" i="13"/>
  <c r="T177" i="13"/>
  <c r="S177" i="13"/>
  <c r="R177" i="13"/>
  <c r="Q177" i="13"/>
  <c r="T176" i="13"/>
  <c r="S176" i="13"/>
  <c r="R176" i="13"/>
  <c r="Q176" i="13"/>
  <c r="T175" i="13"/>
  <c r="S175" i="13"/>
  <c r="R175" i="13"/>
  <c r="Q175" i="13"/>
  <c r="T174" i="13"/>
  <c r="S174" i="13"/>
  <c r="R174" i="13"/>
  <c r="Q174" i="13"/>
  <c r="T173" i="13"/>
  <c r="S173" i="13"/>
  <c r="R173" i="13"/>
  <c r="Q173" i="13"/>
  <c r="T172" i="13"/>
  <c r="S172" i="13"/>
  <c r="R172" i="13"/>
  <c r="Q172" i="13"/>
  <c r="T171" i="13"/>
  <c r="S171" i="13"/>
  <c r="R171" i="13"/>
  <c r="Q171" i="13"/>
  <c r="T170" i="13"/>
  <c r="S170" i="13"/>
  <c r="R170" i="13"/>
  <c r="Q170" i="13"/>
  <c r="T169" i="13"/>
  <c r="S169" i="13"/>
  <c r="R169" i="13"/>
  <c r="Q169" i="13"/>
  <c r="T168" i="13"/>
  <c r="S168" i="13"/>
  <c r="R168" i="13"/>
  <c r="Q168" i="13"/>
  <c r="T167" i="13"/>
  <c r="S167" i="13"/>
  <c r="R167" i="13"/>
  <c r="Q167" i="13"/>
  <c r="T166" i="13"/>
  <c r="S166" i="13"/>
  <c r="R166" i="13"/>
  <c r="Q166" i="13"/>
  <c r="T165" i="13"/>
  <c r="S165" i="13"/>
  <c r="R165" i="13"/>
  <c r="Q165" i="13"/>
  <c r="T164" i="13"/>
  <c r="S164" i="13"/>
  <c r="R164" i="13"/>
  <c r="Q164" i="13"/>
  <c r="T163" i="13"/>
  <c r="S163" i="13"/>
  <c r="R163" i="13"/>
  <c r="Q163" i="13"/>
  <c r="T162" i="13"/>
  <c r="S162" i="13"/>
  <c r="R162" i="13"/>
  <c r="Q162" i="13"/>
  <c r="T161" i="13"/>
  <c r="S161" i="13"/>
  <c r="R161" i="13"/>
  <c r="Q161" i="13"/>
  <c r="T160" i="13"/>
  <c r="S160" i="13"/>
  <c r="R160" i="13"/>
  <c r="Q160" i="13"/>
  <c r="T159" i="13"/>
  <c r="S159" i="13"/>
  <c r="R159" i="13"/>
  <c r="Q159" i="13"/>
  <c r="T158" i="13"/>
  <c r="S158" i="13"/>
  <c r="R158" i="13"/>
  <c r="Q158" i="13"/>
  <c r="T157" i="13"/>
  <c r="S157" i="13"/>
  <c r="R157" i="13"/>
  <c r="Q157" i="13"/>
  <c r="T156" i="13"/>
  <c r="S156" i="13"/>
  <c r="R156" i="13"/>
  <c r="Q156" i="13"/>
  <c r="T155" i="13"/>
  <c r="S155" i="13"/>
  <c r="R155" i="13"/>
  <c r="Q155" i="13"/>
  <c r="T154" i="13"/>
  <c r="S154" i="13"/>
  <c r="R154" i="13"/>
  <c r="Q154" i="13"/>
  <c r="T153" i="13"/>
  <c r="S153" i="13"/>
  <c r="R153" i="13"/>
  <c r="Q153" i="13"/>
  <c r="T152" i="13"/>
  <c r="S152" i="13"/>
  <c r="R152" i="13"/>
  <c r="Q152" i="13"/>
  <c r="T151" i="13"/>
  <c r="S151" i="13"/>
  <c r="R151" i="13"/>
  <c r="Q151" i="13"/>
  <c r="T150" i="13"/>
  <c r="S150" i="13"/>
  <c r="R150" i="13"/>
  <c r="Q150" i="13"/>
  <c r="T149" i="13"/>
  <c r="S149" i="13"/>
  <c r="R149" i="13"/>
  <c r="Q149" i="13"/>
  <c r="T148" i="13"/>
  <c r="S148" i="13"/>
  <c r="R148" i="13"/>
  <c r="Q148" i="13"/>
  <c r="T147" i="13"/>
  <c r="S147" i="13"/>
  <c r="R147" i="13"/>
  <c r="Q147" i="13"/>
  <c r="T146" i="13"/>
  <c r="S146" i="13"/>
  <c r="R146" i="13"/>
  <c r="Q146" i="13"/>
  <c r="T145" i="13"/>
  <c r="S145" i="13"/>
  <c r="R145" i="13"/>
  <c r="Q145" i="13"/>
  <c r="T144" i="13"/>
  <c r="S144" i="13"/>
  <c r="R144" i="13"/>
  <c r="Q144" i="13"/>
  <c r="T143" i="13"/>
  <c r="S143" i="13"/>
  <c r="R143" i="13"/>
  <c r="Q143" i="13"/>
  <c r="T142" i="13"/>
  <c r="S142" i="13"/>
  <c r="R142" i="13"/>
  <c r="Q142" i="13"/>
  <c r="T141" i="13"/>
  <c r="S141" i="13"/>
  <c r="R141" i="13"/>
  <c r="Q141" i="13"/>
  <c r="T140" i="13"/>
  <c r="S140" i="13"/>
  <c r="R140" i="13"/>
  <c r="Q140" i="13"/>
  <c r="T139" i="13"/>
  <c r="S139" i="13"/>
  <c r="R139" i="13"/>
  <c r="Q139" i="13"/>
  <c r="T138" i="13"/>
  <c r="S138" i="13"/>
  <c r="R138" i="13"/>
  <c r="Q138" i="13"/>
  <c r="T137" i="13"/>
  <c r="S137" i="13"/>
  <c r="R137" i="13"/>
  <c r="Q137" i="13"/>
  <c r="T136" i="13"/>
  <c r="S136" i="13"/>
  <c r="R136" i="13"/>
  <c r="Q136" i="13"/>
  <c r="T135" i="13"/>
  <c r="S135" i="13"/>
  <c r="R135" i="13"/>
  <c r="Q135" i="13"/>
  <c r="T134" i="13"/>
  <c r="S134" i="13"/>
  <c r="R134" i="13"/>
  <c r="Q134" i="13"/>
  <c r="T133" i="13"/>
  <c r="S133" i="13"/>
  <c r="R133" i="13"/>
  <c r="Q133" i="13"/>
  <c r="T132" i="13"/>
  <c r="S132" i="13"/>
  <c r="R132" i="13"/>
  <c r="Q132" i="13"/>
  <c r="T131" i="13"/>
  <c r="S131" i="13"/>
  <c r="R131" i="13"/>
  <c r="Q131" i="13"/>
  <c r="T130" i="13"/>
  <c r="S130" i="13"/>
  <c r="R130" i="13"/>
  <c r="Q130" i="13"/>
  <c r="T129" i="13"/>
  <c r="S129" i="13"/>
  <c r="R129" i="13"/>
  <c r="Q129" i="13"/>
  <c r="T128" i="13"/>
  <c r="S128" i="13"/>
  <c r="R128" i="13"/>
  <c r="Q128" i="13"/>
  <c r="T127" i="13"/>
  <c r="S127" i="13"/>
  <c r="R127" i="13"/>
  <c r="Q127" i="13"/>
  <c r="T126" i="13"/>
  <c r="S126" i="13"/>
  <c r="R126" i="13"/>
  <c r="Q126" i="13"/>
  <c r="T125" i="13"/>
  <c r="S125" i="13"/>
  <c r="R125" i="13"/>
  <c r="Q125" i="13"/>
  <c r="T124" i="13"/>
  <c r="S124" i="13"/>
  <c r="R124" i="13"/>
  <c r="Q124" i="13"/>
  <c r="T123" i="13"/>
  <c r="S123" i="13"/>
  <c r="R123" i="13"/>
  <c r="Q123" i="13"/>
  <c r="T122" i="13"/>
  <c r="S122" i="13"/>
  <c r="R122" i="13"/>
  <c r="Q122" i="13"/>
  <c r="T121" i="13"/>
  <c r="S121" i="13"/>
  <c r="R121" i="13"/>
  <c r="Q121" i="13"/>
  <c r="T120" i="13"/>
  <c r="S120" i="13"/>
  <c r="R120" i="13"/>
  <c r="Q120" i="13"/>
  <c r="T119" i="13"/>
  <c r="S119" i="13"/>
  <c r="R119" i="13"/>
  <c r="Q119" i="13"/>
  <c r="T118" i="13"/>
  <c r="S118" i="13"/>
  <c r="R118" i="13"/>
  <c r="Q118" i="13"/>
  <c r="T117" i="13"/>
  <c r="S117" i="13"/>
  <c r="R117" i="13"/>
  <c r="Q117" i="13"/>
  <c r="T116" i="13"/>
  <c r="S116" i="13"/>
  <c r="R116" i="13"/>
  <c r="Q116" i="13"/>
  <c r="T115" i="13"/>
  <c r="S115" i="13"/>
  <c r="R115" i="13"/>
  <c r="Q115" i="13"/>
  <c r="T114" i="13"/>
  <c r="S114" i="13"/>
  <c r="R114" i="13"/>
  <c r="Q114" i="13"/>
  <c r="T113" i="13"/>
  <c r="S113" i="13"/>
  <c r="R113" i="13"/>
  <c r="Q113" i="13"/>
  <c r="T112" i="13"/>
  <c r="S112" i="13"/>
  <c r="R112" i="13"/>
  <c r="Q112" i="13"/>
  <c r="T111" i="13"/>
  <c r="S111" i="13"/>
  <c r="R111" i="13"/>
  <c r="Q111" i="13"/>
  <c r="T110" i="13"/>
  <c r="S110" i="13"/>
  <c r="R110" i="13"/>
  <c r="Q110" i="13"/>
  <c r="T109" i="13"/>
  <c r="S109" i="13"/>
  <c r="R109" i="13"/>
  <c r="Q109" i="13"/>
  <c r="T108" i="13"/>
  <c r="S108" i="13"/>
  <c r="R108" i="13"/>
  <c r="Q108" i="13"/>
  <c r="T107" i="13"/>
  <c r="S107" i="13"/>
  <c r="R107" i="13"/>
  <c r="Q107" i="13"/>
  <c r="T106" i="13"/>
  <c r="S106" i="13"/>
  <c r="R106" i="13"/>
  <c r="Q106" i="13"/>
  <c r="T105" i="13"/>
  <c r="S105" i="13"/>
  <c r="R105" i="13"/>
  <c r="Q105" i="13"/>
  <c r="T104" i="13"/>
  <c r="S104" i="13"/>
  <c r="R104" i="13"/>
  <c r="Q104" i="13"/>
  <c r="T103" i="13"/>
  <c r="S103" i="13"/>
  <c r="R103" i="13"/>
  <c r="Q103" i="13"/>
  <c r="T102" i="13"/>
  <c r="S102" i="13"/>
  <c r="R102" i="13"/>
  <c r="Q102" i="13"/>
  <c r="T101" i="13"/>
  <c r="S101" i="13"/>
  <c r="R101" i="13"/>
  <c r="Q101" i="13"/>
  <c r="T100" i="13"/>
  <c r="S100" i="13"/>
  <c r="R100" i="13"/>
  <c r="Q100" i="13"/>
  <c r="T99" i="13"/>
  <c r="S99" i="13"/>
  <c r="R99" i="13"/>
  <c r="Q99" i="13"/>
  <c r="T98" i="13"/>
  <c r="S98" i="13"/>
  <c r="R98" i="13"/>
  <c r="Q98" i="13"/>
  <c r="T97" i="13"/>
  <c r="S97" i="13"/>
  <c r="R97" i="13"/>
  <c r="Q97" i="13"/>
  <c r="T96" i="13"/>
  <c r="S96" i="13"/>
  <c r="R96" i="13"/>
  <c r="Q96" i="13"/>
  <c r="T95" i="13"/>
  <c r="S95" i="13"/>
  <c r="R95" i="13"/>
  <c r="Q95" i="13"/>
  <c r="T94" i="13"/>
  <c r="S94" i="13"/>
  <c r="R94" i="13"/>
  <c r="Q94" i="13"/>
  <c r="T93" i="13"/>
  <c r="S93" i="13"/>
  <c r="R93" i="13"/>
  <c r="Q93" i="13"/>
  <c r="T92" i="13"/>
  <c r="S92" i="13"/>
  <c r="R92" i="13"/>
  <c r="Q92" i="13"/>
  <c r="T91" i="13"/>
  <c r="S91" i="13"/>
  <c r="R91" i="13"/>
  <c r="Q91" i="13"/>
  <c r="T90" i="13"/>
  <c r="S90" i="13"/>
  <c r="R90" i="13"/>
  <c r="Q90" i="13"/>
  <c r="T89" i="13"/>
  <c r="S89" i="13"/>
  <c r="R89" i="13"/>
  <c r="Q89" i="13"/>
  <c r="T88" i="13"/>
  <c r="S88" i="13"/>
  <c r="R88" i="13"/>
  <c r="Q88" i="13"/>
  <c r="T87" i="13"/>
  <c r="S87" i="13"/>
  <c r="R87" i="13"/>
  <c r="Q87" i="13"/>
  <c r="T86" i="13"/>
  <c r="S86" i="13"/>
  <c r="R86" i="13"/>
  <c r="Q86" i="13"/>
  <c r="T85" i="13"/>
  <c r="S85" i="13"/>
  <c r="R85" i="13"/>
  <c r="Q85" i="13"/>
  <c r="T84" i="13"/>
  <c r="S84" i="13"/>
  <c r="R84" i="13"/>
  <c r="Q84" i="13"/>
  <c r="T83" i="13"/>
  <c r="S83" i="13"/>
  <c r="R83" i="13"/>
  <c r="Q83" i="13"/>
  <c r="T82" i="13"/>
  <c r="S82" i="13"/>
  <c r="R82" i="13"/>
  <c r="Q82" i="13"/>
  <c r="T81" i="13"/>
  <c r="S81" i="13"/>
  <c r="R81" i="13"/>
  <c r="Q81" i="13"/>
  <c r="T80" i="13"/>
  <c r="S80" i="13"/>
  <c r="R80" i="13"/>
  <c r="Q80" i="13"/>
  <c r="T79" i="13"/>
  <c r="S79" i="13"/>
  <c r="R79" i="13"/>
  <c r="Q79" i="13"/>
  <c r="T78" i="13"/>
  <c r="S78" i="13"/>
  <c r="R78" i="13"/>
  <c r="Q78" i="13"/>
  <c r="T77" i="13"/>
  <c r="S77" i="13"/>
  <c r="R77" i="13"/>
  <c r="Q77" i="13"/>
  <c r="T76" i="13"/>
  <c r="S76" i="13"/>
  <c r="R76" i="13"/>
  <c r="Q76" i="13"/>
  <c r="T75" i="13"/>
  <c r="S75" i="13"/>
  <c r="R75" i="13"/>
  <c r="Q75" i="13"/>
  <c r="T74" i="13"/>
  <c r="S74" i="13"/>
  <c r="R74" i="13"/>
  <c r="Q74" i="13"/>
  <c r="T73" i="13"/>
  <c r="S73" i="13"/>
  <c r="R73" i="13"/>
  <c r="Q73" i="13"/>
  <c r="T72" i="13"/>
  <c r="S72" i="13"/>
  <c r="R72" i="13"/>
  <c r="Q72" i="13"/>
  <c r="T71" i="13"/>
  <c r="S71" i="13"/>
  <c r="R71" i="13"/>
  <c r="Q71" i="13"/>
  <c r="T70" i="13"/>
  <c r="S70" i="13"/>
  <c r="R70" i="13"/>
  <c r="Q70" i="13"/>
  <c r="T69" i="13"/>
  <c r="S69" i="13"/>
  <c r="R69" i="13"/>
  <c r="Q69" i="13"/>
  <c r="T68" i="13"/>
  <c r="S68" i="13"/>
  <c r="R68" i="13"/>
  <c r="Q68" i="13"/>
  <c r="T67" i="13"/>
  <c r="S67" i="13"/>
  <c r="R67" i="13"/>
  <c r="Q67" i="13"/>
  <c r="T66" i="13"/>
  <c r="S66" i="13"/>
  <c r="R66" i="13"/>
  <c r="Q66" i="13"/>
  <c r="T65" i="13"/>
  <c r="S65" i="13"/>
  <c r="R65" i="13"/>
  <c r="Q65" i="13"/>
  <c r="T64" i="13"/>
  <c r="S64" i="13"/>
  <c r="R64" i="13"/>
  <c r="Q64" i="13"/>
  <c r="T63" i="13"/>
  <c r="S63" i="13"/>
  <c r="R63" i="13"/>
  <c r="Q63" i="13"/>
  <c r="T62" i="13"/>
  <c r="S62" i="13"/>
  <c r="R62" i="13"/>
  <c r="Q62" i="13"/>
  <c r="T61" i="13"/>
  <c r="S61" i="13"/>
  <c r="R61" i="13"/>
  <c r="Q61" i="13"/>
  <c r="T60" i="13"/>
  <c r="S60" i="13"/>
  <c r="R60" i="13"/>
  <c r="Q60" i="13"/>
  <c r="T59" i="13"/>
  <c r="S59" i="13"/>
  <c r="R59" i="13"/>
  <c r="Q59" i="13"/>
  <c r="T58" i="13"/>
  <c r="S58" i="13"/>
  <c r="R58" i="13"/>
  <c r="Q58" i="13"/>
  <c r="T57" i="13"/>
  <c r="S57" i="13"/>
  <c r="R57" i="13"/>
  <c r="Q57" i="13"/>
  <c r="T56" i="13"/>
  <c r="S56" i="13"/>
  <c r="R56" i="13"/>
  <c r="Q56" i="13"/>
  <c r="T55" i="13"/>
  <c r="S55" i="13"/>
  <c r="R55" i="13"/>
  <c r="Q55" i="13"/>
  <c r="T54" i="13"/>
  <c r="S54" i="13"/>
  <c r="R54" i="13"/>
  <c r="Q54" i="13"/>
  <c r="T53" i="13"/>
  <c r="S53" i="13"/>
  <c r="R53" i="13"/>
  <c r="Q53" i="13"/>
  <c r="T52" i="13"/>
  <c r="S52" i="13"/>
  <c r="R52" i="13"/>
  <c r="Q52" i="13"/>
  <c r="T51" i="13"/>
  <c r="S51" i="13"/>
  <c r="R51" i="13"/>
  <c r="Q51" i="13"/>
  <c r="T50" i="13"/>
  <c r="S50" i="13"/>
  <c r="R50" i="13"/>
  <c r="Q50" i="13"/>
  <c r="T49" i="13"/>
  <c r="S49" i="13"/>
  <c r="R49" i="13"/>
  <c r="Q49" i="13"/>
  <c r="T48" i="13"/>
  <c r="S48" i="13"/>
  <c r="R48" i="13"/>
  <c r="Q48" i="13"/>
  <c r="T47" i="13"/>
  <c r="S47" i="13"/>
  <c r="R47" i="13"/>
  <c r="Q47" i="13"/>
  <c r="T46" i="13"/>
  <c r="S46" i="13"/>
  <c r="R46" i="13"/>
  <c r="Q46" i="13"/>
  <c r="T45" i="13"/>
  <c r="S45" i="13"/>
  <c r="R45" i="13"/>
  <c r="Q45" i="13"/>
  <c r="T44" i="13"/>
  <c r="S44" i="13"/>
  <c r="R44" i="13"/>
  <c r="Q44" i="13"/>
  <c r="T43" i="13"/>
  <c r="S43" i="13"/>
  <c r="R43" i="13"/>
  <c r="Q43" i="13"/>
  <c r="T42" i="13"/>
  <c r="S42" i="13"/>
  <c r="R42" i="13"/>
  <c r="Q42" i="13"/>
  <c r="T41" i="13"/>
  <c r="S41" i="13"/>
  <c r="R41" i="13"/>
  <c r="Q41" i="13"/>
  <c r="T40" i="13"/>
  <c r="S40" i="13"/>
  <c r="R40" i="13"/>
  <c r="Q40" i="13"/>
  <c r="T39" i="13"/>
  <c r="S39" i="13"/>
  <c r="R39" i="13"/>
  <c r="Q39" i="13"/>
  <c r="T38" i="13"/>
  <c r="S38" i="13"/>
  <c r="R38" i="13"/>
  <c r="Q38" i="13"/>
  <c r="T37" i="13"/>
  <c r="S37" i="13"/>
  <c r="R37" i="13"/>
  <c r="Q37" i="13"/>
  <c r="T36" i="13"/>
  <c r="S36" i="13"/>
  <c r="R36" i="13"/>
  <c r="Q36" i="13"/>
  <c r="T35" i="13"/>
  <c r="S35" i="13"/>
  <c r="R35" i="13"/>
  <c r="Q35" i="13"/>
  <c r="T34" i="13"/>
  <c r="S34" i="13"/>
  <c r="R34" i="13"/>
  <c r="Q34" i="13"/>
  <c r="T33" i="13"/>
  <c r="S33" i="13"/>
  <c r="R33" i="13"/>
  <c r="Q33" i="13"/>
  <c r="T32" i="13"/>
  <c r="S32" i="13"/>
  <c r="R32" i="13"/>
  <c r="Q32" i="13"/>
  <c r="T31" i="13"/>
  <c r="S31" i="13"/>
  <c r="R31" i="13"/>
  <c r="Q31" i="13"/>
  <c r="T30" i="13"/>
  <c r="S30" i="13"/>
  <c r="R30" i="13"/>
  <c r="Q30" i="13"/>
  <c r="T29" i="13"/>
  <c r="S29" i="13"/>
  <c r="R29" i="13"/>
  <c r="Q29" i="13"/>
  <c r="T28" i="13"/>
  <c r="S28" i="13"/>
  <c r="R28" i="13"/>
  <c r="Q28" i="13"/>
  <c r="T27" i="13"/>
  <c r="S27" i="13"/>
  <c r="R27" i="13"/>
  <c r="Q27" i="13"/>
  <c r="T26" i="13"/>
  <c r="S26" i="13"/>
  <c r="R26" i="13"/>
  <c r="Q26" i="13"/>
  <c r="T25" i="13"/>
  <c r="S25" i="13"/>
  <c r="R25" i="13"/>
  <c r="Q25" i="13"/>
  <c r="T24" i="13"/>
  <c r="S24" i="13"/>
  <c r="R24" i="13"/>
  <c r="Q24" i="13"/>
  <c r="T23" i="13"/>
  <c r="S23" i="13"/>
  <c r="R23" i="13"/>
  <c r="Q23" i="13"/>
  <c r="T22" i="13"/>
  <c r="S22" i="13"/>
  <c r="R22" i="13"/>
  <c r="Q22" i="13"/>
  <c r="T21" i="13"/>
  <c r="S21" i="13"/>
  <c r="R21" i="13"/>
  <c r="Q21" i="13"/>
  <c r="T20" i="13"/>
  <c r="S20" i="13"/>
  <c r="R20" i="13"/>
  <c r="Q20" i="13"/>
  <c r="T19" i="13"/>
  <c r="S19" i="13"/>
  <c r="R19" i="13"/>
  <c r="Q19" i="13"/>
  <c r="T18" i="13"/>
  <c r="S18" i="13"/>
  <c r="R18" i="13"/>
  <c r="Q18" i="13"/>
  <c r="T17" i="13"/>
  <c r="S17" i="13"/>
  <c r="R17" i="13"/>
  <c r="Q17" i="13"/>
  <c r="T16" i="13"/>
  <c r="S16" i="13"/>
  <c r="R16" i="13"/>
  <c r="Q16" i="13"/>
  <c r="T15" i="13"/>
  <c r="S15" i="13"/>
  <c r="R15" i="13"/>
  <c r="Q15" i="13"/>
  <c r="T14" i="13"/>
  <c r="S14" i="13"/>
  <c r="R14" i="13"/>
  <c r="Q14" i="13"/>
  <c r="T13" i="13"/>
  <c r="S13" i="13"/>
  <c r="R13" i="13"/>
  <c r="Q13" i="13"/>
  <c r="T12" i="13"/>
  <c r="S12" i="13"/>
  <c r="R12" i="13"/>
  <c r="Q12" i="13"/>
  <c r="T11" i="13"/>
  <c r="S11" i="13"/>
  <c r="R11" i="13"/>
  <c r="Q11" i="13"/>
  <c r="T10" i="13"/>
  <c r="S10" i="13"/>
  <c r="R10" i="13"/>
  <c r="Q10" i="13"/>
  <c r="T9" i="13"/>
  <c r="S9" i="13"/>
  <c r="R9" i="13"/>
  <c r="Q9" i="13"/>
  <c r="T8" i="13"/>
  <c r="S8" i="13"/>
  <c r="R8" i="13"/>
  <c r="Q8" i="13"/>
  <c r="T7" i="13"/>
  <c r="S7" i="13"/>
  <c r="R7" i="13"/>
  <c r="Q7" i="13"/>
  <c r="T6" i="13"/>
  <c r="S6" i="13"/>
  <c r="R6" i="13"/>
  <c r="Q6" i="13"/>
  <c r="T5" i="13"/>
  <c r="S5" i="13"/>
  <c r="R5" i="13"/>
  <c r="Q5" i="13"/>
  <c r="C304" i="11"/>
  <c r="C303" i="11"/>
  <c r="C302" i="11"/>
  <c r="C301" i="11"/>
  <c r="C300" i="11"/>
  <c r="C299" i="11"/>
  <c r="C298" i="11"/>
  <c r="C297" i="11"/>
  <c r="C296" i="11"/>
  <c r="C295" i="11"/>
  <c r="C294" i="11"/>
  <c r="C293" i="11"/>
  <c r="C292" i="11"/>
  <c r="C291" i="11"/>
  <c r="C290" i="11"/>
  <c r="C289" i="11"/>
  <c r="C288" i="11"/>
  <c r="C287" i="11"/>
  <c r="C286" i="11"/>
  <c r="C285" i="11"/>
  <c r="C284" i="11"/>
  <c r="C283" i="11"/>
  <c r="C282" i="11"/>
  <c r="C281" i="11"/>
  <c r="C280" i="11"/>
  <c r="C279" i="11"/>
  <c r="C278" i="11"/>
  <c r="C277" i="11"/>
  <c r="C276" i="11"/>
  <c r="C275" i="11"/>
  <c r="C274" i="11"/>
  <c r="C273" i="11"/>
  <c r="C272" i="11"/>
  <c r="C271" i="11"/>
  <c r="C270" i="11"/>
  <c r="C269" i="11"/>
  <c r="C268" i="11"/>
  <c r="C267" i="11"/>
  <c r="C266" i="11"/>
  <c r="C265" i="11"/>
  <c r="C264" i="11"/>
  <c r="C263" i="11"/>
  <c r="C262" i="11"/>
  <c r="C261" i="11"/>
  <c r="C260" i="11"/>
  <c r="C259" i="11"/>
  <c r="C258" i="11"/>
  <c r="C257" i="11"/>
  <c r="C256" i="11"/>
  <c r="C255" i="11"/>
  <c r="C254" i="11"/>
  <c r="C253" i="11"/>
  <c r="C252" i="11"/>
  <c r="C251" i="11"/>
  <c r="C250" i="11"/>
  <c r="C249" i="11"/>
  <c r="C248" i="11"/>
  <c r="C247" i="11"/>
  <c r="C246" i="11"/>
  <c r="C245" i="11"/>
  <c r="C244" i="11"/>
  <c r="C243" i="11"/>
  <c r="C242" i="11"/>
  <c r="C241" i="11"/>
  <c r="C240" i="11"/>
  <c r="C239" i="11"/>
  <c r="C238" i="11"/>
  <c r="C237" i="11"/>
  <c r="C236" i="11"/>
  <c r="C235" i="11"/>
  <c r="C234" i="11"/>
  <c r="C233" i="11"/>
  <c r="C232" i="11"/>
  <c r="C231" i="11"/>
  <c r="C230" i="11"/>
  <c r="C229" i="11"/>
  <c r="C228" i="11"/>
  <c r="C227" i="11"/>
  <c r="C226" i="11"/>
  <c r="C225" i="11"/>
  <c r="C224" i="11"/>
  <c r="C223" i="11"/>
  <c r="C222" i="11"/>
  <c r="C221" i="11"/>
  <c r="C220" i="11"/>
  <c r="C219" i="11"/>
  <c r="C218" i="11"/>
  <c r="C217" i="11"/>
  <c r="C216" i="11"/>
  <c r="C215" i="11"/>
  <c r="C214" i="11"/>
  <c r="C213" i="11"/>
  <c r="C212" i="11"/>
  <c r="C211" i="11"/>
  <c r="C210" i="11"/>
  <c r="C209" i="11"/>
  <c r="C208" i="11"/>
  <c r="C207" i="11"/>
  <c r="C206" i="11"/>
  <c r="C205" i="11"/>
  <c r="C204" i="11"/>
  <c r="C203" i="11"/>
  <c r="C202" i="11"/>
  <c r="C201" i="11"/>
  <c r="C200" i="11"/>
  <c r="C199" i="11"/>
  <c r="C198" i="11"/>
  <c r="C197" i="11"/>
  <c r="C196" i="11"/>
  <c r="C195" i="11"/>
  <c r="C194" i="11"/>
  <c r="C193" i="11"/>
  <c r="C192" i="11"/>
  <c r="C191" i="11"/>
  <c r="C190" i="11"/>
  <c r="C189" i="11"/>
  <c r="C188" i="11"/>
  <c r="C187" i="11"/>
  <c r="C186" i="11"/>
  <c r="C185" i="11"/>
  <c r="C184" i="11"/>
  <c r="C183" i="11"/>
  <c r="C182" i="11"/>
  <c r="C181" i="11"/>
  <c r="C180" i="11"/>
  <c r="C179" i="11"/>
  <c r="C178" i="11"/>
  <c r="C177" i="11"/>
  <c r="C176" i="11"/>
  <c r="C175" i="11"/>
  <c r="C174" i="11"/>
  <c r="C173" i="11"/>
  <c r="C172" i="11"/>
  <c r="C171" i="11"/>
  <c r="C170" i="11"/>
  <c r="C169" i="11"/>
  <c r="C168" i="11"/>
  <c r="C167" i="11"/>
  <c r="C166" i="11"/>
  <c r="C165" i="11"/>
  <c r="C164" i="11"/>
  <c r="C163" i="11"/>
  <c r="C162" i="11"/>
  <c r="C161" i="11"/>
  <c r="C160" i="11"/>
  <c r="C159" i="11"/>
  <c r="C158" i="11"/>
  <c r="C157" i="11"/>
  <c r="C156" i="11"/>
  <c r="C155" i="11"/>
  <c r="C154" i="11"/>
  <c r="C153" i="11"/>
  <c r="C152" i="11"/>
  <c r="C151" i="11"/>
  <c r="C150" i="11"/>
  <c r="C149" i="11"/>
  <c r="C148" i="11"/>
  <c r="C147" i="11"/>
  <c r="C146" i="11"/>
  <c r="C145" i="11"/>
  <c r="C144" i="11"/>
  <c r="C143" i="11"/>
  <c r="C142" i="11"/>
  <c r="C141" i="11"/>
  <c r="C140" i="11"/>
  <c r="C139" i="11"/>
  <c r="C138" i="11"/>
  <c r="C137" i="11"/>
  <c r="C136" i="11"/>
  <c r="C135" i="11"/>
  <c r="C134" i="11"/>
  <c r="C133" i="11"/>
  <c r="C132" i="11"/>
  <c r="C131" i="11"/>
  <c r="C130" i="11"/>
  <c r="C129" i="11"/>
  <c r="C128" i="11"/>
  <c r="C127" i="11"/>
  <c r="C126" i="11"/>
  <c r="C125" i="11"/>
  <c r="C124" i="11"/>
  <c r="C123" i="11"/>
  <c r="C122" i="11"/>
  <c r="C121" i="11"/>
  <c r="C120" i="11"/>
  <c r="C119" i="11"/>
  <c r="C118" i="11"/>
  <c r="C117" i="11"/>
  <c r="C116" i="11"/>
  <c r="C115" i="11"/>
  <c r="C114" i="11"/>
  <c r="C113" i="11"/>
  <c r="C112" i="11"/>
  <c r="C111" i="11"/>
  <c r="C110" i="11"/>
  <c r="C109" i="11"/>
  <c r="C108" i="11"/>
  <c r="C107" i="11"/>
  <c r="C106" i="11"/>
  <c r="C105" i="11"/>
  <c r="C104" i="11"/>
  <c r="C103" i="11"/>
  <c r="C102" i="11"/>
  <c r="C101" i="11"/>
  <c r="C100" i="11"/>
  <c r="C99" i="11"/>
  <c r="C98" i="11"/>
  <c r="C97" i="11"/>
  <c r="C96" i="11"/>
  <c r="C95" i="11"/>
  <c r="C94" i="11"/>
  <c r="C93" i="11"/>
  <c r="C92" i="11"/>
  <c r="C91" i="11"/>
  <c r="C90" i="11"/>
  <c r="C89" i="11"/>
  <c r="C88" i="11"/>
  <c r="C87" i="11"/>
  <c r="C86" i="11"/>
  <c r="C85" i="11"/>
  <c r="C84" i="11"/>
  <c r="C83" i="11"/>
  <c r="C82" i="11"/>
  <c r="C81" i="11"/>
  <c r="C80" i="11"/>
  <c r="C79" i="11"/>
  <c r="C78" i="11"/>
  <c r="C77" i="11"/>
  <c r="C76" i="11"/>
  <c r="C75" i="11"/>
  <c r="C74" i="11"/>
  <c r="C73" i="11"/>
  <c r="C72" i="11"/>
  <c r="C71" i="11"/>
  <c r="C70" i="11"/>
  <c r="C69" i="11"/>
  <c r="C68" i="11"/>
  <c r="C67" i="11"/>
  <c r="C66" i="11"/>
  <c r="C65" i="11"/>
  <c r="C64" i="11"/>
  <c r="C63" i="11"/>
  <c r="C62" i="11"/>
  <c r="C61" i="11"/>
  <c r="C60" i="11"/>
  <c r="C59" i="11"/>
  <c r="C58" i="11"/>
  <c r="C57" i="11"/>
  <c r="C56" i="11"/>
  <c r="C55" i="11"/>
  <c r="C54" i="11"/>
  <c r="C53" i="11"/>
  <c r="C52" i="11"/>
  <c r="C51" i="11"/>
  <c r="C50" i="11"/>
  <c r="C49" i="11"/>
  <c r="C48" i="11"/>
  <c r="C47" i="11"/>
  <c r="C46" i="11"/>
  <c r="C45" i="11"/>
  <c r="C44" i="11"/>
  <c r="C43" i="11"/>
  <c r="C42" i="11"/>
  <c r="C41" i="11"/>
  <c r="C40" i="11"/>
  <c r="C39" i="11"/>
  <c r="C38" i="11"/>
  <c r="C37" i="11"/>
  <c r="C36" i="11"/>
  <c r="C35" i="11"/>
  <c r="C34" i="11"/>
  <c r="C33" i="11"/>
  <c r="C32" i="11"/>
  <c r="C31" i="11"/>
  <c r="C30" i="11"/>
  <c r="C29" i="11"/>
  <c r="C28" i="11"/>
  <c r="C27" i="11"/>
  <c r="C26" i="11"/>
  <c r="C25" i="11"/>
  <c r="C24" i="11"/>
  <c r="C23" i="11"/>
  <c r="C22" i="11"/>
  <c r="C21" i="11"/>
  <c r="C20" i="11"/>
  <c r="C19" i="11"/>
  <c r="C18" i="11"/>
  <c r="C17" i="11"/>
  <c r="C16" i="11"/>
  <c r="C15" i="11"/>
  <c r="C14" i="11"/>
  <c r="C13" i="11"/>
  <c r="C12" i="11"/>
  <c r="C11" i="11"/>
  <c r="C10" i="11"/>
  <c r="C9" i="11"/>
  <c r="C8" i="11"/>
  <c r="C7" i="11"/>
  <c r="C6" i="11"/>
  <c r="C5" i="11"/>
  <c r="F304" i="10"/>
  <c r="D304" i="10"/>
  <c r="F303" i="10"/>
  <c r="D303" i="10"/>
  <c r="F302" i="10"/>
  <c r="D302" i="10"/>
  <c r="F301" i="10"/>
  <c r="D301" i="10"/>
  <c r="F300" i="10"/>
  <c r="D300" i="10"/>
  <c r="F299" i="10"/>
  <c r="D299" i="10"/>
  <c r="F298" i="10"/>
  <c r="D298" i="10"/>
  <c r="F297" i="10"/>
  <c r="D297" i="10"/>
  <c r="F296" i="10"/>
  <c r="D296" i="10"/>
  <c r="F295" i="10"/>
  <c r="D295" i="10"/>
  <c r="F294" i="10"/>
  <c r="D294" i="10"/>
  <c r="F293" i="10"/>
  <c r="D293" i="10"/>
  <c r="F292" i="10"/>
  <c r="D292" i="10"/>
  <c r="F291" i="10"/>
  <c r="D291" i="10"/>
  <c r="F290" i="10"/>
  <c r="D290" i="10"/>
  <c r="F289" i="10"/>
  <c r="D289" i="10"/>
  <c r="F288" i="10"/>
  <c r="D288" i="10"/>
  <c r="F287" i="10"/>
  <c r="D287" i="10"/>
  <c r="F286" i="10"/>
  <c r="D286" i="10"/>
  <c r="F285" i="10"/>
  <c r="D285" i="10"/>
  <c r="F284" i="10"/>
  <c r="D284" i="10"/>
  <c r="F283" i="10"/>
  <c r="D283" i="10"/>
  <c r="F282" i="10"/>
  <c r="D282" i="10"/>
  <c r="F281" i="10"/>
  <c r="D281" i="10"/>
  <c r="F280" i="10"/>
  <c r="D280" i="10"/>
  <c r="F279" i="10"/>
  <c r="D279" i="10"/>
  <c r="F278" i="10"/>
  <c r="D278" i="10"/>
  <c r="F277" i="10"/>
  <c r="D277" i="10"/>
  <c r="F276" i="10"/>
  <c r="D276" i="10"/>
  <c r="F275" i="10"/>
  <c r="D275" i="10"/>
  <c r="F274" i="10"/>
  <c r="D274" i="10"/>
  <c r="F273" i="10"/>
  <c r="D273" i="10"/>
  <c r="F272" i="10"/>
  <c r="D272" i="10"/>
  <c r="F271" i="10"/>
  <c r="D271" i="10"/>
  <c r="F270" i="10"/>
  <c r="D270" i="10"/>
  <c r="F269" i="10"/>
  <c r="D269" i="10"/>
  <c r="F268" i="10"/>
  <c r="D268" i="10"/>
  <c r="F267" i="10"/>
  <c r="D267" i="10"/>
  <c r="F266" i="10"/>
  <c r="D266" i="10"/>
  <c r="F265" i="10"/>
  <c r="D265" i="10"/>
  <c r="F264" i="10"/>
  <c r="D264" i="10"/>
  <c r="F263" i="10"/>
  <c r="D263" i="10"/>
  <c r="F262" i="10"/>
  <c r="D262" i="10"/>
  <c r="F261" i="10"/>
  <c r="D261" i="10"/>
  <c r="F260" i="10"/>
  <c r="D260" i="10"/>
  <c r="F259" i="10"/>
  <c r="D259" i="10"/>
  <c r="F258" i="10"/>
  <c r="D258" i="10"/>
  <c r="F257" i="10"/>
  <c r="D257" i="10"/>
  <c r="F256" i="10"/>
  <c r="D256" i="10"/>
  <c r="F255" i="10"/>
  <c r="D255" i="10"/>
  <c r="F254" i="10"/>
  <c r="D254" i="10"/>
  <c r="F253" i="10"/>
  <c r="D253" i="10"/>
  <c r="F252" i="10"/>
  <c r="D252" i="10"/>
  <c r="F251" i="10"/>
  <c r="D251" i="10"/>
  <c r="F250" i="10"/>
  <c r="D250" i="10"/>
  <c r="F249" i="10"/>
  <c r="D249" i="10"/>
  <c r="F248" i="10"/>
  <c r="D248" i="10"/>
  <c r="F247" i="10"/>
  <c r="D247" i="10"/>
  <c r="F246" i="10"/>
  <c r="D246" i="10"/>
  <c r="F245" i="10"/>
  <c r="D245" i="10"/>
  <c r="F244" i="10"/>
  <c r="D244" i="10"/>
  <c r="F243" i="10"/>
  <c r="D243" i="10"/>
  <c r="F242" i="10"/>
  <c r="D242" i="10"/>
  <c r="F241" i="10"/>
  <c r="D241" i="10"/>
  <c r="F240" i="10"/>
  <c r="D240" i="10"/>
  <c r="F239" i="10"/>
  <c r="D239" i="10"/>
  <c r="F238" i="10"/>
  <c r="D238" i="10"/>
  <c r="F237" i="10"/>
  <c r="D237" i="10"/>
  <c r="F236" i="10"/>
  <c r="D236" i="10"/>
  <c r="F235" i="10"/>
  <c r="D235" i="10"/>
  <c r="F234" i="10"/>
  <c r="D234" i="10"/>
  <c r="F233" i="10"/>
  <c r="D233" i="10"/>
  <c r="F232" i="10"/>
  <c r="D232" i="10"/>
  <c r="F231" i="10"/>
  <c r="D231" i="10"/>
  <c r="F230" i="10"/>
  <c r="D230" i="10"/>
  <c r="F229" i="10"/>
  <c r="D229" i="10"/>
  <c r="F228" i="10"/>
  <c r="D228" i="10"/>
  <c r="F227" i="10"/>
  <c r="D227" i="10"/>
  <c r="F226" i="10"/>
  <c r="D226" i="10"/>
  <c r="F225" i="10"/>
  <c r="D225" i="10"/>
  <c r="F224" i="10"/>
  <c r="D224" i="10"/>
  <c r="F223" i="10"/>
  <c r="D223" i="10"/>
  <c r="F222" i="10"/>
  <c r="D222" i="10"/>
  <c r="F221" i="10"/>
  <c r="D221" i="10"/>
  <c r="F220" i="10"/>
  <c r="D220" i="10"/>
  <c r="F219" i="10"/>
  <c r="D219" i="10"/>
  <c r="F218" i="10"/>
  <c r="D218" i="10"/>
  <c r="F217" i="10"/>
  <c r="D217" i="10"/>
  <c r="F216" i="10"/>
  <c r="D216" i="10"/>
  <c r="F215" i="10"/>
  <c r="D215" i="10"/>
  <c r="F214" i="10"/>
  <c r="D214" i="10"/>
  <c r="F213" i="10"/>
  <c r="D213" i="10"/>
  <c r="F212" i="10"/>
  <c r="D212" i="10"/>
  <c r="F211" i="10"/>
  <c r="D211" i="10"/>
  <c r="F210" i="10"/>
  <c r="D210" i="10"/>
  <c r="F209" i="10"/>
  <c r="D209" i="10"/>
  <c r="F208" i="10"/>
  <c r="D208" i="10"/>
  <c r="F207" i="10"/>
  <c r="D207" i="10"/>
  <c r="F206" i="10"/>
  <c r="D206" i="10"/>
  <c r="F205" i="10"/>
  <c r="D205" i="10"/>
  <c r="F204" i="10"/>
  <c r="D204" i="10"/>
  <c r="F203" i="10"/>
  <c r="D203" i="10"/>
  <c r="F202" i="10"/>
  <c r="D202" i="10"/>
  <c r="F201" i="10"/>
  <c r="D201" i="10"/>
  <c r="F200" i="10"/>
  <c r="D200" i="10"/>
  <c r="F199" i="10"/>
  <c r="D199" i="10"/>
  <c r="F198" i="10"/>
  <c r="D198" i="10"/>
  <c r="F197" i="10"/>
  <c r="D197" i="10"/>
  <c r="F196" i="10"/>
  <c r="D196" i="10"/>
  <c r="F195" i="10"/>
  <c r="D195" i="10"/>
  <c r="F194" i="10"/>
  <c r="D194" i="10"/>
  <c r="F193" i="10"/>
  <c r="D193" i="10"/>
  <c r="F192" i="10"/>
  <c r="D192" i="10"/>
  <c r="F191" i="10"/>
  <c r="D191" i="10"/>
  <c r="F190" i="10"/>
  <c r="D190" i="10"/>
  <c r="F189" i="10"/>
  <c r="D189" i="10"/>
  <c r="F188" i="10"/>
  <c r="D188" i="10"/>
  <c r="F187" i="10"/>
  <c r="D187" i="10"/>
  <c r="F186" i="10"/>
  <c r="D186" i="10"/>
  <c r="F185" i="10"/>
  <c r="D185" i="10"/>
  <c r="F184" i="10"/>
  <c r="D184" i="10"/>
  <c r="F183" i="10"/>
  <c r="D183" i="10"/>
  <c r="F182" i="10"/>
  <c r="D182" i="10"/>
  <c r="F181" i="10"/>
  <c r="D181" i="10"/>
  <c r="F180" i="10"/>
  <c r="D180" i="10"/>
  <c r="F179" i="10"/>
  <c r="D179" i="10"/>
  <c r="F178" i="10"/>
  <c r="D178" i="10"/>
  <c r="F177" i="10"/>
  <c r="D177" i="10"/>
  <c r="F176" i="10"/>
  <c r="D176" i="10"/>
  <c r="F175" i="10"/>
  <c r="D175" i="10"/>
  <c r="F174" i="10"/>
  <c r="D174" i="10"/>
  <c r="F173" i="10"/>
  <c r="D173" i="10"/>
  <c r="F172" i="10"/>
  <c r="D172" i="10"/>
  <c r="F171" i="10"/>
  <c r="D171" i="10"/>
  <c r="F170" i="10"/>
  <c r="D170" i="10"/>
  <c r="F169" i="10"/>
  <c r="D169" i="10"/>
  <c r="F168" i="10"/>
  <c r="D168" i="10"/>
  <c r="F167" i="10"/>
  <c r="D167" i="10"/>
  <c r="F166" i="10"/>
  <c r="D166" i="10"/>
  <c r="F165" i="10"/>
  <c r="D165" i="10"/>
  <c r="F164" i="10"/>
  <c r="D164" i="10"/>
  <c r="F163" i="10"/>
  <c r="D163" i="10"/>
  <c r="F162" i="10"/>
  <c r="D162" i="10"/>
  <c r="F161" i="10"/>
  <c r="D161" i="10"/>
  <c r="F160" i="10"/>
  <c r="D160" i="10"/>
  <c r="F159" i="10"/>
  <c r="D159" i="10"/>
  <c r="F158" i="10"/>
  <c r="D158" i="10"/>
  <c r="F157" i="10"/>
  <c r="D157" i="10"/>
  <c r="F156" i="10"/>
  <c r="D156" i="10"/>
  <c r="F155" i="10"/>
  <c r="D155" i="10"/>
  <c r="F154" i="10"/>
  <c r="D154" i="10"/>
  <c r="F153" i="10"/>
  <c r="D153" i="10"/>
  <c r="F152" i="10"/>
  <c r="D152" i="10"/>
  <c r="F151" i="10"/>
  <c r="D151" i="10"/>
  <c r="F150" i="10"/>
  <c r="D150" i="10"/>
  <c r="F149" i="10"/>
  <c r="D149" i="10"/>
  <c r="F148" i="10"/>
  <c r="D148" i="10"/>
  <c r="F147" i="10"/>
  <c r="D147" i="10"/>
  <c r="F146" i="10"/>
  <c r="D146" i="10"/>
  <c r="F145" i="10"/>
  <c r="D145" i="10"/>
  <c r="F144" i="10"/>
  <c r="D144" i="10"/>
  <c r="F143" i="10"/>
  <c r="D143" i="10"/>
  <c r="F142" i="10"/>
  <c r="D142" i="10"/>
  <c r="F141" i="10"/>
  <c r="D141" i="10"/>
  <c r="F140" i="10"/>
  <c r="D140" i="10"/>
  <c r="F139" i="10"/>
  <c r="D139" i="10"/>
  <c r="F138" i="10"/>
  <c r="D138" i="10"/>
  <c r="F137" i="10"/>
  <c r="D137" i="10"/>
  <c r="F136" i="10"/>
  <c r="D136" i="10"/>
  <c r="F135" i="10"/>
  <c r="D135" i="10"/>
  <c r="F134" i="10"/>
  <c r="D134" i="10"/>
  <c r="F133" i="10"/>
  <c r="D133" i="10"/>
  <c r="F132" i="10"/>
  <c r="D132" i="10"/>
  <c r="F131" i="10"/>
  <c r="D131" i="10"/>
  <c r="F130" i="10"/>
  <c r="D130" i="10"/>
  <c r="F129" i="10"/>
  <c r="D129" i="10"/>
  <c r="F128" i="10"/>
  <c r="D128" i="10"/>
  <c r="F127" i="10"/>
  <c r="D127" i="10"/>
  <c r="F126" i="10"/>
  <c r="D126" i="10"/>
  <c r="F125" i="10"/>
  <c r="D125" i="10"/>
  <c r="F124" i="10"/>
  <c r="D124" i="10"/>
  <c r="F123" i="10"/>
  <c r="D123" i="10"/>
  <c r="F122" i="10"/>
  <c r="D122" i="10"/>
  <c r="F121" i="10"/>
  <c r="D121" i="10"/>
  <c r="F120" i="10"/>
  <c r="D120" i="10"/>
  <c r="F119" i="10"/>
  <c r="D119" i="10"/>
  <c r="F118" i="10"/>
  <c r="D118" i="10"/>
  <c r="F117" i="10"/>
  <c r="D117" i="10"/>
  <c r="F116" i="10"/>
  <c r="D116" i="10"/>
  <c r="F115" i="10"/>
  <c r="D115" i="10"/>
  <c r="F114" i="10"/>
  <c r="D114" i="10"/>
  <c r="F113" i="10"/>
  <c r="D113" i="10"/>
  <c r="F112" i="10"/>
  <c r="D112" i="10"/>
  <c r="F111" i="10"/>
  <c r="D111" i="10"/>
  <c r="F110" i="10"/>
  <c r="D110" i="10"/>
  <c r="F109" i="10"/>
  <c r="D109" i="10"/>
  <c r="F108" i="10"/>
  <c r="D108" i="10"/>
  <c r="F107" i="10"/>
  <c r="D107" i="10"/>
  <c r="F106" i="10"/>
  <c r="D106" i="10"/>
  <c r="F105" i="10"/>
  <c r="D105" i="10"/>
  <c r="F104" i="10"/>
  <c r="D104" i="10"/>
  <c r="F103" i="10"/>
  <c r="D103" i="10"/>
  <c r="F102" i="10"/>
  <c r="D102" i="10"/>
  <c r="F101" i="10"/>
  <c r="D101" i="10"/>
  <c r="F100" i="10"/>
  <c r="D100" i="10"/>
  <c r="F99" i="10"/>
  <c r="D99" i="10"/>
  <c r="F98" i="10"/>
  <c r="D98" i="10"/>
  <c r="F97" i="10"/>
  <c r="D97" i="10"/>
  <c r="F96" i="10"/>
  <c r="D96" i="10"/>
  <c r="F95" i="10"/>
  <c r="D95" i="10"/>
  <c r="F94" i="10"/>
  <c r="D94" i="10"/>
  <c r="F93" i="10"/>
  <c r="D93" i="10"/>
  <c r="F92" i="10"/>
  <c r="D92" i="10"/>
  <c r="F91" i="10"/>
  <c r="D91" i="10"/>
  <c r="F90" i="10"/>
  <c r="D90" i="10"/>
  <c r="F89" i="10"/>
  <c r="D89" i="10"/>
  <c r="F88" i="10"/>
  <c r="D88" i="10"/>
  <c r="F87" i="10"/>
  <c r="D87" i="10"/>
  <c r="F86" i="10"/>
  <c r="D86" i="10"/>
  <c r="F85" i="10"/>
  <c r="D85" i="10"/>
  <c r="F84" i="10"/>
  <c r="D84" i="10"/>
  <c r="F83" i="10"/>
  <c r="D83" i="10"/>
  <c r="F82" i="10"/>
  <c r="D82" i="10"/>
  <c r="F81" i="10"/>
  <c r="D81" i="10"/>
  <c r="F80" i="10"/>
  <c r="D80" i="10"/>
  <c r="F79" i="10"/>
  <c r="D79" i="10"/>
  <c r="F78" i="10"/>
  <c r="D78" i="10"/>
  <c r="F77" i="10"/>
  <c r="D77" i="10"/>
  <c r="F76" i="10"/>
  <c r="D76" i="10"/>
  <c r="F75" i="10"/>
  <c r="D75" i="10"/>
  <c r="F74" i="10"/>
  <c r="D74" i="10"/>
  <c r="F73" i="10"/>
  <c r="D73" i="10"/>
  <c r="F72" i="10"/>
  <c r="D72" i="10"/>
  <c r="F71" i="10"/>
  <c r="D71" i="10"/>
  <c r="F70" i="10"/>
  <c r="D70" i="10"/>
  <c r="F69" i="10"/>
  <c r="D69" i="10"/>
  <c r="F68" i="10"/>
  <c r="D68" i="10"/>
  <c r="F67" i="10"/>
  <c r="D67" i="10"/>
  <c r="F66" i="10"/>
  <c r="D66" i="10"/>
  <c r="F65" i="10"/>
  <c r="D65" i="10"/>
  <c r="F64" i="10"/>
  <c r="D64" i="10"/>
  <c r="F63" i="10"/>
  <c r="D63" i="10"/>
  <c r="F62" i="10"/>
  <c r="D62" i="10"/>
  <c r="F61" i="10"/>
  <c r="D61" i="10"/>
  <c r="F60" i="10"/>
  <c r="D60" i="10"/>
  <c r="F59" i="10"/>
  <c r="D59" i="10"/>
  <c r="F58" i="10"/>
  <c r="D58" i="10"/>
  <c r="F57" i="10"/>
  <c r="D57" i="10"/>
  <c r="F56" i="10"/>
  <c r="D56" i="10"/>
  <c r="F55" i="10"/>
  <c r="D55" i="10"/>
  <c r="F54" i="10"/>
  <c r="D54" i="10"/>
  <c r="F53" i="10"/>
  <c r="D53" i="10"/>
  <c r="F52" i="10"/>
  <c r="D52" i="10"/>
  <c r="F51" i="10"/>
  <c r="D51" i="10"/>
  <c r="F50" i="10"/>
  <c r="D50" i="10"/>
  <c r="F49" i="10"/>
  <c r="D49" i="10"/>
  <c r="F48" i="10"/>
  <c r="D48" i="10"/>
  <c r="F47" i="10"/>
  <c r="D47" i="10"/>
  <c r="F46" i="10"/>
  <c r="D46" i="10"/>
  <c r="F45" i="10"/>
  <c r="D45" i="10"/>
  <c r="F44" i="10"/>
  <c r="D44" i="10"/>
  <c r="F43" i="10"/>
  <c r="D43" i="10"/>
  <c r="F42" i="10"/>
  <c r="D42" i="10"/>
  <c r="F41" i="10"/>
  <c r="D41" i="10"/>
  <c r="F40" i="10"/>
  <c r="D40" i="10"/>
  <c r="F39" i="10"/>
  <c r="D39" i="10"/>
  <c r="F38" i="10"/>
  <c r="D38" i="10"/>
  <c r="F37" i="10"/>
  <c r="D37" i="10"/>
  <c r="F36" i="10"/>
  <c r="D36" i="10"/>
  <c r="F35" i="10"/>
  <c r="D35" i="10"/>
  <c r="F34" i="10"/>
  <c r="D34" i="10"/>
  <c r="F33" i="10"/>
  <c r="D33" i="10"/>
  <c r="F32" i="10"/>
  <c r="D32" i="10"/>
  <c r="F31" i="10"/>
  <c r="D31" i="10"/>
  <c r="F30" i="10"/>
  <c r="D30" i="10"/>
  <c r="F29" i="10"/>
  <c r="D29" i="10"/>
  <c r="F28" i="10"/>
  <c r="D28" i="10"/>
  <c r="F27" i="10"/>
  <c r="D27" i="10"/>
  <c r="F26" i="10"/>
  <c r="D26" i="10"/>
  <c r="F25" i="10"/>
  <c r="D25" i="10"/>
  <c r="F24" i="10"/>
  <c r="D24" i="10"/>
  <c r="F23" i="10"/>
  <c r="D23" i="10"/>
  <c r="F22" i="10"/>
  <c r="D22" i="10"/>
  <c r="F21" i="10"/>
  <c r="D21" i="10"/>
  <c r="F20" i="10"/>
  <c r="D20" i="10"/>
  <c r="F19" i="10"/>
  <c r="D19" i="10"/>
  <c r="F18" i="10"/>
  <c r="D18" i="10"/>
  <c r="F17" i="10"/>
  <c r="D17" i="10"/>
  <c r="F16" i="10"/>
  <c r="D16" i="10"/>
  <c r="F15" i="10"/>
  <c r="D15" i="10"/>
  <c r="F14" i="10"/>
  <c r="D14" i="10"/>
  <c r="F13" i="10"/>
  <c r="D13" i="10"/>
  <c r="F12" i="10"/>
  <c r="D12" i="10"/>
  <c r="F11" i="10"/>
  <c r="D11" i="10"/>
  <c r="F10" i="10"/>
  <c r="D10" i="10"/>
  <c r="F9" i="10"/>
  <c r="D9" i="10"/>
  <c r="F8" i="10"/>
  <c r="D8" i="10"/>
  <c r="F7" i="10"/>
  <c r="D7" i="10"/>
  <c r="F6" i="10"/>
  <c r="D6" i="10"/>
  <c r="F5" i="10"/>
  <c r="D5" i="10"/>
  <c r="X304" i="9"/>
  <c r="X303" i="9"/>
  <c r="X302" i="9"/>
  <c r="X301" i="9"/>
  <c r="X300" i="9"/>
  <c r="X299" i="9"/>
  <c r="X298" i="9"/>
  <c r="X297" i="9"/>
  <c r="X296" i="9"/>
  <c r="X295" i="9"/>
  <c r="X294" i="9"/>
  <c r="X293" i="9"/>
  <c r="X292" i="9"/>
  <c r="X291" i="9"/>
  <c r="X290" i="9"/>
  <c r="X289" i="9"/>
  <c r="X288" i="9"/>
  <c r="X287" i="9"/>
  <c r="X286" i="9"/>
  <c r="X285" i="9"/>
  <c r="X284" i="9"/>
  <c r="X283" i="9"/>
  <c r="X282" i="9"/>
  <c r="X281" i="9"/>
  <c r="X280" i="9"/>
  <c r="X279" i="9"/>
  <c r="X278" i="9"/>
  <c r="X277" i="9"/>
  <c r="X276" i="9"/>
  <c r="X275" i="9"/>
  <c r="X274" i="9"/>
  <c r="X273" i="9"/>
  <c r="X272" i="9"/>
  <c r="X271" i="9"/>
  <c r="X270" i="9"/>
  <c r="X269" i="9"/>
  <c r="X268" i="9"/>
  <c r="X267" i="9"/>
  <c r="X266" i="9"/>
  <c r="X265" i="9"/>
  <c r="X264" i="9"/>
  <c r="X263" i="9"/>
  <c r="X262" i="9"/>
  <c r="X261" i="9"/>
  <c r="X260" i="9"/>
  <c r="X259" i="9"/>
  <c r="X258" i="9"/>
  <c r="X257" i="9"/>
  <c r="X256" i="9"/>
  <c r="X255" i="9"/>
  <c r="X254" i="9"/>
  <c r="X253" i="9"/>
  <c r="X252" i="9"/>
  <c r="X251" i="9"/>
  <c r="X250" i="9"/>
  <c r="X249" i="9"/>
  <c r="X248" i="9"/>
  <c r="X247" i="9"/>
  <c r="X246" i="9"/>
  <c r="X245" i="9"/>
  <c r="X244" i="9"/>
  <c r="X243" i="9"/>
  <c r="X242" i="9"/>
  <c r="X241" i="9"/>
  <c r="X240" i="9"/>
  <c r="X239" i="9"/>
  <c r="X238" i="9"/>
  <c r="X237" i="9"/>
  <c r="X236" i="9"/>
  <c r="X235" i="9"/>
  <c r="X234" i="9"/>
  <c r="X233" i="9"/>
  <c r="X232" i="9"/>
  <c r="X231" i="9"/>
  <c r="X230" i="9"/>
  <c r="X229" i="9"/>
  <c r="X228" i="9"/>
  <c r="X227" i="9"/>
  <c r="X226" i="9"/>
  <c r="X225" i="9"/>
  <c r="X224" i="9"/>
  <c r="X223" i="9"/>
  <c r="X222" i="9"/>
  <c r="X221" i="9"/>
  <c r="X220" i="9"/>
  <c r="X219" i="9"/>
  <c r="X218" i="9"/>
  <c r="X217" i="9"/>
  <c r="X216" i="9"/>
  <c r="X215" i="9"/>
  <c r="X214" i="9"/>
  <c r="X213" i="9"/>
  <c r="X212" i="9"/>
  <c r="X211" i="9"/>
  <c r="X210" i="9"/>
  <c r="X209" i="9"/>
  <c r="X208" i="9"/>
  <c r="X207" i="9"/>
  <c r="X206" i="9"/>
  <c r="X205" i="9"/>
  <c r="X204" i="9"/>
  <c r="X203" i="9"/>
  <c r="X202" i="9"/>
  <c r="X201" i="9"/>
  <c r="X200" i="9"/>
  <c r="X199" i="9"/>
  <c r="X198" i="9"/>
  <c r="X197" i="9"/>
  <c r="X196" i="9"/>
  <c r="X195" i="9"/>
  <c r="X194" i="9"/>
  <c r="X193" i="9"/>
  <c r="X192" i="9"/>
  <c r="X191" i="9"/>
  <c r="X190" i="9"/>
  <c r="X189" i="9"/>
  <c r="X188" i="9"/>
  <c r="X187" i="9"/>
  <c r="X186" i="9"/>
  <c r="X185" i="9"/>
  <c r="X184" i="9"/>
  <c r="X183" i="9"/>
  <c r="X182" i="9"/>
  <c r="X181" i="9"/>
  <c r="X180" i="9"/>
  <c r="X179" i="9"/>
  <c r="X178" i="9"/>
  <c r="X177" i="9"/>
  <c r="X176" i="9"/>
  <c r="X175" i="9"/>
  <c r="X174" i="9"/>
  <c r="X173" i="9"/>
  <c r="X172" i="9"/>
  <c r="X171" i="9"/>
  <c r="X170" i="9"/>
  <c r="X169" i="9"/>
  <c r="X168" i="9"/>
  <c r="X167" i="9"/>
  <c r="X166" i="9"/>
  <c r="X165" i="9"/>
  <c r="X164" i="9"/>
  <c r="X163" i="9"/>
  <c r="X162" i="9"/>
  <c r="X161" i="9"/>
  <c r="X160" i="9"/>
  <c r="X159" i="9"/>
  <c r="X158" i="9"/>
  <c r="X157" i="9"/>
  <c r="X156" i="9"/>
  <c r="X155" i="9"/>
  <c r="X154" i="9"/>
  <c r="X153" i="9"/>
  <c r="X152" i="9"/>
  <c r="X151" i="9"/>
  <c r="X150" i="9"/>
  <c r="X149" i="9"/>
  <c r="X148" i="9"/>
  <c r="X147" i="9"/>
  <c r="X146" i="9"/>
  <c r="X145" i="9"/>
  <c r="X144" i="9"/>
  <c r="X143" i="9"/>
  <c r="X142" i="9"/>
  <c r="X141" i="9"/>
  <c r="X140" i="9"/>
  <c r="X139" i="9"/>
  <c r="X138" i="9"/>
  <c r="X137" i="9"/>
  <c r="X136" i="9"/>
  <c r="X135" i="9"/>
  <c r="X134" i="9"/>
  <c r="X133" i="9"/>
  <c r="X132" i="9"/>
  <c r="X131" i="9"/>
  <c r="X130" i="9"/>
  <c r="X129" i="9"/>
  <c r="X128" i="9"/>
  <c r="X127" i="9"/>
  <c r="X126" i="9"/>
  <c r="X125" i="9"/>
  <c r="X124" i="9"/>
  <c r="X123" i="9"/>
  <c r="X122" i="9"/>
  <c r="X121" i="9"/>
  <c r="X120" i="9"/>
  <c r="X119" i="9"/>
  <c r="X118" i="9"/>
  <c r="X117" i="9"/>
  <c r="X116" i="9"/>
  <c r="X115" i="9"/>
  <c r="X114" i="9"/>
  <c r="X113" i="9"/>
  <c r="X112" i="9"/>
  <c r="X111" i="9"/>
  <c r="X110" i="9"/>
  <c r="X109" i="9"/>
  <c r="X108" i="9"/>
  <c r="X107" i="9"/>
  <c r="X106" i="9"/>
  <c r="X105" i="9"/>
  <c r="X104" i="9"/>
  <c r="X103" i="9"/>
  <c r="X102" i="9"/>
  <c r="X101" i="9"/>
  <c r="X100" i="9"/>
  <c r="X99" i="9"/>
  <c r="X98" i="9"/>
  <c r="X97" i="9"/>
  <c r="X96" i="9"/>
  <c r="X95" i="9"/>
  <c r="X94" i="9"/>
  <c r="X93" i="9"/>
  <c r="X92" i="9"/>
  <c r="X91" i="9"/>
  <c r="X90" i="9"/>
  <c r="X89" i="9"/>
  <c r="X88" i="9"/>
  <c r="X87" i="9"/>
  <c r="X86" i="9"/>
  <c r="X85" i="9"/>
  <c r="X84" i="9"/>
  <c r="X83" i="9"/>
  <c r="X82" i="9"/>
  <c r="X81" i="9"/>
  <c r="X80" i="9"/>
  <c r="X79" i="9"/>
  <c r="X78" i="9"/>
  <c r="X77" i="9"/>
  <c r="X76" i="9"/>
  <c r="X75" i="9"/>
  <c r="X74" i="9"/>
  <c r="X73" i="9"/>
  <c r="X72" i="9"/>
  <c r="X71" i="9"/>
  <c r="X70" i="9"/>
  <c r="X69" i="9"/>
  <c r="X68" i="9"/>
  <c r="X67" i="9"/>
  <c r="X66" i="9"/>
  <c r="X65" i="9"/>
  <c r="X64" i="9"/>
  <c r="X63" i="9"/>
  <c r="X62" i="9"/>
  <c r="X61" i="9"/>
  <c r="X60" i="9"/>
  <c r="X59" i="9"/>
  <c r="X58" i="9"/>
  <c r="X57" i="9"/>
  <c r="X56" i="9"/>
  <c r="X55" i="9"/>
  <c r="X54" i="9"/>
  <c r="X53" i="9"/>
  <c r="X52" i="9"/>
  <c r="X51" i="9"/>
  <c r="X50" i="9"/>
  <c r="X49" i="9"/>
  <c r="X48" i="9"/>
  <c r="X47" i="9"/>
  <c r="X46" i="9"/>
  <c r="X45" i="9"/>
  <c r="X44" i="9"/>
  <c r="X43" i="9"/>
  <c r="X42" i="9"/>
  <c r="X41" i="9"/>
  <c r="X40" i="9"/>
  <c r="X39" i="9"/>
  <c r="X38" i="9"/>
  <c r="X37" i="9"/>
  <c r="X36" i="9"/>
  <c r="X35" i="9"/>
  <c r="X34" i="9"/>
  <c r="X33" i="9"/>
  <c r="X32" i="9"/>
  <c r="X31" i="9"/>
  <c r="X30" i="9"/>
  <c r="X29" i="9"/>
  <c r="X28" i="9"/>
  <c r="X27" i="9"/>
  <c r="X26" i="9"/>
  <c r="X25" i="9"/>
  <c r="X24" i="9"/>
  <c r="X23" i="9"/>
  <c r="X22" i="9"/>
  <c r="X21" i="9"/>
  <c r="X20" i="9"/>
  <c r="X19" i="9"/>
  <c r="X18" i="9"/>
  <c r="X17" i="9"/>
  <c r="X16" i="9"/>
  <c r="X15" i="9"/>
  <c r="X14" i="9"/>
  <c r="X13" i="9"/>
  <c r="X12" i="9"/>
  <c r="X11" i="9"/>
  <c r="X10" i="9"/>
  <c r="X9" i="9"/>
  <c r="X8" i="9"/>
  <c r="X7" i="9"/>
  <c r="X6" i="9"/>
  <c r="X5" i="9"/>
  <c r="M304" i="8"/>
  <c r="J304" i="8"/>
  <c r="H304" i="8"/>
  <c r="D304" i="8"/>
  <c r="J303" i="8"/>
  <c r="M303" i="8" s="1"/>
  <c r="H303" i="8"/>
  <c r="D303" i="8"/>
  <c r="J302" i="8"/>
  <c r="M302" i="8" s="1"/>
  <c r="H302" i="8"/>
  <c r="D302" i="8"/>
  <c r="J301" i="8"/>
  <c r="M301" i="8" s="1"/>
  <c r="H301" i="8"/>
  <c r="D301" i="8"/>
  <c r="M300" i="8"/>
  <c r="J300" i="8"/>
  <c r="H300" i="8"/>
  <c r="D300" i="8"/>
  <c r="J299" i="8"/>
  <c r="M299" i="8" s="1"/>
  <c r="H299" i="8"/>
  <c r="D299" i="8"/>
  <c r="J298" i="8"/>
  <c r="M298" i="8" s="1"/>
  <c r="H298" i="8"/>
  <c r="D298" i="8"/>
  <c r="J297" i="8"/>
  <c r="M297" i="8" s="1"/>
  <c r="H297" i="8"/>
  <c r="D297" i="8"/>
  <c r="M296" i="8"/>
  <c r="J296" i="8"/>
  <c r="H296" i="8"/>
  <c r="D296" i="8"/>
  <c r="J295" i="8"/>
  <c r="M295" i="8" s="1"/>
  <c r="H295" i="8"/>
  <c r="D295" i="8"/>
  <c r="J294" i="8"/>
  <c r="M294" i="8" s="1"/>
  <c r="H294" i="8"/>
  <c r="D294" i="8"/>
  <c r="J293" i="8"/>
  <c r="M293" i="8" s="1"/>
  <c r="H293" i="8"/>
  <c r="D293" i="8"/>
  <c r="M292" i="8"/>
  <c r="J292" i="8"/>
  <c r="H292" i="8"/>
  <c r="D292" i="8"/>
  <c r="J291" i="8"/>
  <c r="M291" i="8" s="1"/>
  <c r="H291" i="8"/>
  <c r="D291" i="8"/>
  <c r="J290" i="8"/>
  <c r="M290" i="8" s="1"/>
  <c r="H290" i="8"/>
  <c r="D290" i="8"/>
  <c r="J289" i="8"/>
  <c r="M289" i="8" s="1"/>
  <c r="H289" i="8"/>
  <c r="D289" i="8"/>
  <c r="M288" i="8"/>
  <c r="J288" i="8"/>
  <c r="H288" i="8"/>
  <c r="D288" i="8"/>
  <c r="J287" i="8"/>
  <c r="M287" i="8" s="1"/>
  <c r="H287" i="8"/>
  <c r="D287" i="8"/>
  <c r="J286" i="8"/>
  <c r="M286" i="8" s="1"/>
  <c r="H286" i="8"/>
  <c r="D286" i="8"/>
  <c r="J285" i="8"/>
  <c r="M285" i="8" s="1"/>
  <c r="H285" i="8"/>
  <c r="D285" i="8"/>
  <c r="M284" i="8"/>
  <c r="J284" i="8"/>
  <c r="H284" i="8"/>
  <c r="D284" i="8"/>
  <c r="J283" i="8"/>
  <c r="M283" i="8" s="1"/>
  <c r="H283" i="8"/>
  <c r="D283" i="8"/>
  <c r="J282" i="8"/>
  <c r="M282" i="8" s="1"/>
  <c r="H282" i="8"/>
  <c r="D282" i="8"/>
  <c r="J281" i="8"/>
  <c r="M281" i="8" s="1"/>
  <c r="H281" i="8"/>
  <c r="D281" i="8"/>
  <c r="M280" i="8"/>
  <c r="J280" i="8"/>
  <c r="H280" i="8"/>
  <c r="D280" i="8"/>
  <c r="J279" i="8"/>
  <c r="M279" i="8" s="1"/>
  <c r="H279" i="8"/>
  <c r="D279" i="8"/>
  <c r="J278" i="8"/>
  <c r="M278" i="8" s="1"/>
  <c r="H278" i="8"/>
  <c r="D278" i="8"/>
  <c r="J277" i="8"/>
  <c r="M277" i="8" s="1"/>
  <c r="H277" i="8"/>
  <c r="D277" i="8"/>
  <c r="M276" i="8"/>
  <c r="J276" i="8"/>
  <c r="H276" i="8"/>
  <c r="D276" i="8"/>
  <c r="J275" i="8"/>
  <c r="M275" i="8" s="1"/>
  <c r="H275" i="8"/>
  <c r="D275" i="8"/>
  <c r="J274" i="8"/>
  <c r="M274" i="8" s="1"/>
  <c r="H274" i="8"/>
  <c r="D274" i="8"/>
  <c r="J273" i="8"/>
  <c r="M273" i="8" s="1"/>
  <c r="H273" i="8"/>
  <c r="D273" i="8"/>
  <c r="M272" i="8"/>
  <c r="J272" i="8"/>
  <c r="H272" i="8"/>
  <c r="D272" i="8"/>
  <c r="J271" i="8"/>
  <c r="M271" i="8" s="1"/>
  <c r="H271" i="8"/>
  <c r="D271" i="8"/>
  <c r="J270" i="8"/>
  <c r="M270" i="8" s="1"/>
  <c r="H270" i="8"/>
  <c r="D270" i="8"/>
  <c r="J269" i="8"/>
  <c r="M269" i="8" s="1"/>
  <c r="H269" i="8"/>
  <c r="D269" i="8"/>
  <c r="M268" i="8"/>
  <c r="J268" i="8"/>
  <c r="H268" i="8"/>
  <c r="D268" i="8"/>
  <c r="J267" i="8"/>
  <c r="M267" i="8" s="1"/>
  <c r="H267" i="8"/>
  <c r="D267" i="8"/>
  <c r="J266" i="8"/>
  <c r="M266" i="8" s="1"/>
  <c r="H266" i="8"/>
  <c r="D266" i="8"/>
  <c r="J265" i="8"/>
  <c r="M265" i="8" s="1"/>
  <c r="H265" i="8"/>
  <c r="D265" i="8"/>
  <c r="M264" i="8"/>
  <c r="J264" i="8"/>
  <c r="H264" i="8"/>
  <c r="D264" i="8"/>
  <c r="J263" i="8"/>
  <c r="M263" i="8" s="1"/>
  <c r="H263" i="8"/>
  <c r="D263" i="8"/>
  <c r="J262" i="8"/>
  <c r="M262" i="8" s="1"/>
  <c r="H262" i="8"/>
  <c r="D262" i="8"/>
  <c r="J261" i="8"/>
  <c r="M261" i="8" s="1"/>
  <c r="H261" i="8"/>
  <c r="D261" i="8"/>
  <c r="M260" i="8"/>
  <c r="J260" i="8"/>
  <c r="H260" i="8"/>
  <c r="D260" i="8"/>
  <c r="J259" i="8"/>
  <c r="M259" i="8" s="1"/>
  <c r="H259" i="8"/>
  <c r="D259" i="8"/>
  <c r="J258" i="8"/>
  <c r="M258" i="8" s="1"/>
  <c r="H258" i="8"/>
  <c r="D258" i="8"/>
  <c r="J257" i="8"/>
  <c r="M257" i="8" s="1"/>
  <c r="H257" i="8"/>
  <c r="D257" i="8"/>
  <c r="M256" i="8"/>
  <c r="J256" i="8"/>
  <c r="H256" i="8"/>
  <c r="D256" i="8"/>
  <c r="J255" i="8"/>
  <c r="M255" i="8" s="1"/>
  <c r="H255" i="8"/>
  <c r="D255" i="8"/>
  <c r="J254" i="8"/>
  <c r="M254" i="8" s="1"/>
  <c r="H254" i="8"/>
  <c r="D254" i="8"/>
  <c r="J253" i="8"/>
  <c r="M253" i="8" s="1"/>
  <c r="H253" i="8"/>
  <c r="D253" i="8"/>
  <c r="M252" i="8"/>
  <c r="J252" i="8"/>
  <c r="H252" i="8"/>
  <c r="D252" i="8"/>
  <c r="J251" i="8"/>
  <c r="M251" i="8" s="1"/>
  <c r="H251" i="8"/>
  <c r="D251" i="8"/>
  <c r="J250" i="8"/>
  <c r="M250" i="8" s="1"/>
  <c r="H250" i="8"/>
  <c r="D250" i="8"/>
  <c r="J249" i="8"/>
  <c r="M249" i="8" s="1"/>
  <c r="H249" i="8"/>
  <c r="D249" i="8"/>
  <c r="M248" i="8"/>
  <c r="J248" i="8"/>
  <c r="H248" i="8"/>
  <c r="D248" i="8"/>
  <c r="J247" i="8"/>
  <c r="M247" i="8" s="1"/>
  <c r="H247" i="8"/>
  <c r="D247" i="8"/>
  <c r="J246" i="8"/>
  <c r="M246" i="8" s="1"/>
  <c r="H246" i="8"/>
  <c r="D246" i="8"/>
  <c r="J245" i="8"/>
  <c r="M245" i="8" s="1"/>
  <c r="H245" i="8"/>
  <c r="D245" i="8"/>
  <c r="M244" i="8"/>
  <c r="J244" i="8"/>
  <c r="H244" i="8"/>
  <c r="D244" i="8"/>
  <c r="J243" i="8"/>
  <c r="M243" i="8" s="1"/>
  <c r="H243" i="8"/>
  <c r="D243" i="8"/>
  <c r="J242" i="8"/>
  <c r="M242" i="8" s="1"/>
  <c r="H242" i="8"/>
  <c r="D242" i="8"/>
  <c r="J241" i="8"/>
  <c r="M241" i="8" s="1"/>
  <c r="H241" i="8"/>
  <c r="D241" i="8"/>
  <c r="M240" i="8"/>
  <c r="J240" i="8"/>
  <c r="H240" i="8"/>
  <c r="D240" i="8"/>
  <c r="J239" i="8"/>
  <c r="M239" i="8" s="1"/>
  <c r="H239" i="8"/>
  <c r="D239" i="8"/>
  <c r="J238" i="8"/>
  <c r="M238" i="8" s="1"/>
  <c r="H238" i="8"/>
  <c r="D238" i="8"/>
  <c r="J237" i="8"/>
  <c r="M237" i="8" s="1"/>
  <c r="H237" i="8"/>
  <c r="D237" i="8"/>
  <c r="M236" i="8"/>
  <c r="J236" i="8"/>
  <c r="H236" i="8"/>
  <c r="D236" i="8"/>
  <c r="J235" i="8"/>
  <c r="M235" i="8" s="1"/>
  <c r="H235" i="8"/>
  <c r="D235" i="8"/>
  <c r="J234" i="8"/>
  <c r="M234" i="8" s="1"/>
  <c r="H234" i="8"/>
  <c r="D234" i="8"/>
  <c r="J233" i="8"/>
  <c r="M233" i="8" s="1"/>
  <c r="H233" i="8"/>
  <c r="D233" i="8"/>
  <c r="M232" i="8"/>
  <c r="J232" i="8"/>
  <c r="H232" i="8"/>
  <c r="D232" i="8"/>
  <c r="J231" i="8"/>
  <c r="M231" i="8" s="1"/>
  <c r="H231" i="8"/>
  <c r="D231" i="8"/>
  <c r="J230" i="8"/>
  <c r="M230" i="8" s="1"/>
  <c r="H230" i="8"/>
  <c r="D230" i="8"/>
  <c r="J229" i="8"/>
  <c r="M229" i="8" s="1"/>
  <c r="H229" i="8"/>
  <c r="D229" i="8"/>
  <c r="M228" i="8"/>
  <c r="J228" i="8"/>
  <c r="H228" i="8"/>
  <c r="D228" i="8"/>
  <c r="J227" i="8"/>
  <c r="M227" i="8" s="1"/>
  <c r="H227" i="8"/>
  <c r="D227" i="8"/>
  <c r="J226" i="8"/>
  <c r="M226" i="8" s="1"/>
  <c r="H226" i="8"/>
  <c r="D226" i="8"/>
  <c r="J225" i="8"/>
  <c r="M225" i="8" s="1"/>
  <c r="H225" i="8"/>
  <c r="D225" i="8"/>
  <c r="M224" i="8"/>
  <c r="J224" i="8"/>
  <c r="H224" i="8"/>
  <c r="D224" i="8"/>
  <c r="J223" i="8"/>
  <c r="M223" i="8" s="1"/>
  <c r="H223" i="8"/>
  <c r="D223" i="8"/>
  <c r="J222" i="8"/>
  <c r="M222" i="8" s="1"/>
  <c r="H222" i="8"/>
  <c r="D222" i="8"/>
  <c r="J221" i="8"/>
  <c r="M221" i="8" s="1"/>
  <c r="H221" i="8"/>
  <c r="D221" i="8"/>
  <c r="M220" i="8"/>
  <c r="J220" i="8"/>
  <c r="H220" i="8"/>
  <c r="D220" i="8"/>
  <c r="J219" i="8"/>
  <c r="M219" i="8" s="1"/>
  <c r="H219" i="8"/>
  <c r="D219" i="8"/>
  <c r="J218" i="8"/>
  <c r="M218" i="8" s="1"/>
  <c r="H218" i="8"/>
  <c r="D218" i="8"/>
  <c r="J217" i="8"/>
  <c r="M217" i="8" s="1"/>
  <c r="H217" i="8"/>
  <c r="D217" i="8"/>
  <c r="M216" i="8"/>
  <c r="J216" i="8"/>
  <c r="H216" i="8"/>
  <c r="D216" i="8"/>
  <c r="J215" i="8"/>
  <c r="M215" i="8" s="1"/>
  <c r="H215" i="8"/>
  <c r="D215" i="8"/>
  <c r="J214" i="8"/>
  <c r="M214" i="8" s="1"/>
  <c r="H214" i="8"/>
  <c r="D214" i="8"/>
  <c r="J213" i="8"/>
  <c r="M213" i="8" s="1"/>
  <c r="H213" i="8"/>
  <c r="D213" i="8"/>
  <c r="M212" i="8"/>
  <c r="J212" i="8"/>
  <c r="H212" i="8"/>
  <c r="D212" i="8"/>
  <c r="J211" i="8"/>
  <c r="M211" i="8" s="1"/>
  <c r="H211" i="8"/>
  <c r="D211" i="8"/>
  <c r="J210" i="8"/>
  <c r="M210" i="8" s="1"/>
  <c r="H210" i="8"/>
  <c r="D210" i="8"/>
  <c r="J209" i="8"/>
  <c r="M209" i="8" s="1"/>
  <c r="H209" i="8"/>
  <c r="D209" i="8"/>
  <c r="M208" i="8"/>
  <c r="J208" i="8"/>
  <c r="H208" i="8"/>
  <c r="D208" i="8"/>
  <c r="J207" i="8"/>
  <c r="M207" i="8" s="1"/>
  <c r="H207" i="8"/>
  <c r="D207" i="8"/>
  <c r="J206" i="8"/>
  <c r="M206" i="8" s="1"/>
  <c r="H206" i="8"/>
  <c r="D206" i="8"/>
  <c r="J205" i="8"/>
  <c r="M205" i="8" s="1"/>
  <c r="H205" i="8"/>
  <c r="D205" i="8"/>
  <c r="M204" i="8"/>
  <c r="J204" i="8"/>
  <c r="H204" i="8"/>
  <c r="D204" i="8"/>
  <c r="J203" i="8"/>
  <c r="M203" i="8" s="1"/>
  <c r="H203" i="8"/>
  <c r="D203" i="8"/>
  <c r="J202" i="8"/>
  <c r="M202" i="8" s="1"/>
  <c r="H202" i="8"/>
  <c r="D202" i="8"/>
  <c r="J201" i="8"/>
  <c r="M201" i="8" s="1"/>
  <c r="H201" i="8"/>
  <c r="D201" i="8"/>
  <c r="M200" i="8"/>
  <c r="J200" i="8"/>
  <c r="H200" i="8"/>
  <c r="D200" i="8"/>
  <c r="J199" i="8"/>
  <c r="M199" i="8" s="1"/>
  <c r="H199" i="8"/>
  <c r="D199" i="8"/>
  <c r="J198" i="8"/>
  <c r="M198" i="8" s="1"/>
  <c r="H198" i="8"/>
  <c r="D198" i="8"/>
  <c r="J197" i="8"/>
  <c r="M197" i="8" s="1"/>
  <c r="H197" i="8"/>
  <c r="D197" i="8"/>
  <c r="M196" i="8"/>
  <c r="J196" i="8"/>
  <c r="H196" i="8"/>
  <c r="D196" i="8"/>
  <c r="J195" i="8"/>
  <c r="M195" i="8" s="1"/>
  <c r="H195" i="8"/>
  <c r="D195" i="8"/>
  <c r="J194" i="8"/>
  <c r="M194" i="8" s="1"/>
  <c r="H194" i="8"/>
  <c r="D194" i="8"/>
  <c r="J193" i="8"/>
  <c r="M193" i="8" s="1"/>
  <c r="H193" i="8"/>
  <c r="D193" i="8"/>
  <c r="M192" i="8"/>
  <c r="J192" i="8"/>
  <c r="H192" i="8"/>
  <c r="D192" i="8"/>
  <c r="J191" i="8"/>
  <c r="M191" i="8" s="1"/>
  <c r="H191" i="8"/>
  <c r="D191" i="8"/>
  <c r="J190" i="8"/>
  <c r="M190" i="8" s="1"/>
  <c r="H190" i="8"/>
  <c r="D190" i="8"/>
  <c r="J189" i="8"/>
  <c r="M189" i="8" s="1"/>
  <c r="H189" i="8"/>
  <c r="D189" i="8"/>
  <c r="M188" i="8"/>
  <c r="J188" i="8"/>
  <c r="H188" i="8"/>
  <c r="D188" i="8"/>
  <c r="J187" i="8"/>
  <c r="M187" i="8" s="1"/>
  <c r="H187" i="8"/>
  <c r="D187" i="8"/>
  <c r="J186" i="8"/>
  <c r="M186" i="8" s="1"/>
  <c r="H186" i="8"/>
  <c r="D186" i="8"/>
  <c r="J185" i="8"/>
  <c r="M185" i="8" s="1"/>
  <c r="H185" i="8"/>
  <c r="D185" i="8"/>
  <c r="M184" i="8"/>
  <c r="J184" i="8"/>
  <c r="H184" i="8"/>
  <c r="D184" i="8"/>
  <c r="J183" i="8"/>
  <c r="M183" i="8" s="1"/>
  <c r="H183" i="8"/>
  <c r="D183" i="8"/>
  <c r="J182" i="8"/>
  <c r="M182" i="8" s="1"/>
  <c r="H182" i="8"/>
  <c r="D182" i="8"/>
  <c r="J181" i="8"/>
  <c r="M181" i="8" s="1"/>
  <c r="H181" i="8"/>
  <c r="D181" i="8"/>
  <c r="M180" i="8"/>
  <c r="J180" i="8"/>
  <c r="H180" i="8"/>
  <c r="D180" i="8"/>
  <c r="J179" i="8"/>
  <c r="M179" i="8" s="1"/>
  <c r="H179" i="8"/>
  <c r="D179" i="8"/>
  <c r="J178" i="8"/>
  <c r="M178" i="8" s="1"/>
  <c r="H178" i="8"/>
  <c r="D178" i="8"/>
  <c r="J177" i="8"/>
  <c r="M177" i="8" s="1"/>
  <c r="H177" i="8"/>
  <c r="D177" i="8"/>
  <c r="M176" i="8"/>
  <c r="J176" i="8"/>
  <c r="H176" i="8"/>
  <c r="D176" i="8"/>
  <c r="J175" i="8"/>
  <c r="M175" i="8" s="1"/>
  <c r="H175" i="8"/>
  <c r="D175" i="8"/>
  <c r="J174" i="8"/>
  <c r="M174" i="8" s="1"/>
  <c r="H174" i="8"/>
  <c r="D174" i="8"/>
  <c r="J173" i="8"/>
  <c r="M173" i="8" s="1"/>
  <c r="H173" i="8"/>
  <c r="D173" i="8"/>
  <c r="M172" i="8"/>
  <c r="J172" i="8"/>
  <c r="H172" i="8"/>
  <c r="D172" i="8"/>
  <c r="J171" i="8"/>
  <c r="M171" i="8" s="1"/>
  <c r="H171" i="8"/>
  <c r="D171" i="8"/>
  <c r="J170" i="8"/>
  <c r="M170" i="8" s="1"/>
  <c r="H170" i="8"/>
  <c r="D170" i="8"/>
  <c r="J169" i="8"/>
  <c r="M169" i="8" s="1"/>
  <c r="H169" i="8"/>
  <c r="D169" i="8"/>
  <c r="M168" i="8"/>
  <c r="J168" i="8"/>
  <c r="H168" i="8"/>
  <c r="D168" i="8"/>
  <c r="J167" i="8"/>
  <c r="M167" i="8" s="1"/>
  <c r="H167" i="8"/>
  <c r="D167" i="8"/>
  <c r="J166" i="8"/>
  <c r="M166" i="8" s="1"/>
  <c r="H166" i="8"/>
  <c r="D166" i="8"/>
  <c r="J165" i="8"/>
  <c r="M165" i="8" s="1"/>
  <c r="H165" i="8"/>
  <c r="D165" i="8"/>
  <c r="M164" i="8"/>
  <c r="J164" i="8"/>
  <c r="H164" i="8"/>
  <c r="D164" i="8"/>
  <c r="J163" i="8"/>
  <c r="M163" i="8" s="1"/>
  <c r="H163" i="8"/>
  <c r="D163" i="8"/>
  <c r="J162" i="8"/>
  <c r="M162" i="8" s="1"/>
  <c r="H162" i="8"/>
  <c r="D162" i="8"/>
  <c r="J161" i="8"/>
  <c r="M161" i="8" s="1"/>
  <c r="H161" i="8"/>
  <c r="D161" i="8"/>
  <c r="M160" i="8"/>
  <c r="J160" i="8"/>
  <c r="H160" i="8"/>
  <c r="D160" i="8"/>
  <c r="J159" i="8"/>
  <c r="M159" i="8" s="1"/>
  <c r="H159" i="8"/>
  <c r="D159" i="8"/>
  <c r="J158" i="8"/>
  <c r="M158" i="8" s="1"/>
  <c r="H158" i="8"/>
  <c r="D158" i="8"/>
  <c r="J157" i="8"/>
  <c r="M157" i="8" s="1"/>
  <c r="H157" i="8"/>
  <c r="D157" i="8"/>
  <c r="M156" i="8"/>
  <c r="J156" i="8"/>
  <c r="H156" i="8"/>
  <c r="D156" i="8"/>
  <c r="J155" i="8"/>
  <c r="M155" i="8" s="1"/>
  <c r="H155" i="8"/>
  <c r="D155" i="8"/>
  <c r="J154" i="8"/>
  <c r="M154" i="8" s="1"/>
  <c r="H154" i="8"/>
  <c r="D154" i="8"/>
  <c r="J153" i="8"/>
  <c r="M153" i="8" s="1"/>
  <c r="H153" i="8"/>
  <c r="D153" i="8"/>
  <c r="M152" i="8"/>
  <c r="J152" i="8"/>
  <c r="H152" i="8"/>
  <c r="D152" i="8"/>
  <c r="J151" i="8"/>
  <c r="M151" i="8" s="1"/>
  <c r="H151" i="8"/>
  <c r="D151" i="8"/>
  <c r="J150" i="8"/>
  <c r="M150" i="8" s="1"/>
  <c r="H150" i="8"/>
  <c r="D150" i="8"/>
  <c r="J149" i="8"/>
  <c r="M149" i="8" s="1"/>
  <c r="H149" i="8"/>
  <c r="D149" i="8"/>
  <c r="M148" i="8"/>
  <c r="J148" i="8"/>
  <c r="H148" i="8"/>
  <c r="D148" i="8"/>
  <c r="J147" i="8"/>
  <c r="M147" i="8" s="1"/>
  <c r="H147" i="8"/>
  <c r="D147" i="8"/>
  <c r="J146" i="8"/>
  <c r="M146" i="8" s="1"/>
  <c r="H146" i="8"/>
  <c r="D146" i="8"/>
  <c r="J145" i="8"/>
  <c r="M145" i="8" s="1"/>
  <c r="H145" i="8"/>
  <c r="D145" i="8"/>
  <c r="M144" i="8"/>
  <c r="J144" i="8"/>
  <c r="H144" i="8"/>
  <c r="D144" i="8"/>
  <c r="J143" i="8"/>
  <c r="M143" i="8" s="1"/>
  <c r="H143" i="8"/>
  <c r="D143" i="8"/>
  <c r="J142" i="8"/>
  <c r="M142" i="8" s="1"/>
  <c r="H142" i="8"/>
  <c r="D142" i="8"/>
  <c r="J141" i="8"/>
  <c r="M141" i="8" s="1"/>
  <c r="H141" i="8"/>
  <c r="D141" i="8"/>
  <c r="M140" i="8"/>
  <c r="J140" i="8"/>
  <c r="H140" i="8"/>
  <c r="D140" i="8"/>
  <c r="J139" i="8"/>
  <c r="M139" i="8" s="1"/>
  <c r="H139" i="8"/>
  <c r="D139" i="8"/>
  <c r="J138" i="8"/>
  <c r="M138" i="8" s="1"/>
  <c r="H138" i="8"/>
  <c r="D138" i="8"/>
  <c r="J137" i="8"/>
  <c r="M137" i="8" s="1"/>
  <c r="H137" i="8"/>
  <c r="D137" i="8"/>
  <c r="M136" i="8"/>
  <c r="J136" i="8"/>
  <c r="H136" i="8"/>
  <c r="D136" i="8"/>
  <c r="J135" i="8"/>
  <c r="M135" i="8" s="1"/>
  <c r="H135" i="8"/>
  <c r="D135" i="8"/>
  <c r="J134" i="8"/>
  <c r="M134" i="8" s="1"/>
  <c r="H134" i="8"/>
  <c r="D134" i="8"/>
  <c r="J133" i="8"/>
  <c r="M133" i="8" s="1"/>
  <c r="H133" i="8"/>
  <c r="D133" i="8"/>
  <c r="M132" i="8"/>
  <c r="J132" i="8"/>
  <c r="H132" i="8"/>
  <c r="D132" i="8"/>
  <c r="J131" i="8"/>
  <c r="M131" i="8" s="1"/>
  <c r="H131" i="8"/>
  <c r="D131" i="8"/>
  <c r="J130" i="8"/>
  <c r="M130" i="8" s="1"/>
  <c r="H130" i="8"/>
  <c r="D130" i="8"/>
  <c r="J129" i="8"/>
  <c r="M129" i="8" s="1"/>
  <c r="H129" i="8"/>
  <c r="D129" i="8"/>
  <c r="M128" i="8"/>
  <c r="J128" i="8"/>
  <c r="H128" i="8"/>
  <c r="D128" i="8"/>
  <c r="J127" i="8"/>
  <c r="M127" i="8" s="1"/>
  <c r="H127" i="8"/>
  <c r="D127" i="8"/>
  <c r="J126" i="8"/>
  <c r="M126" i="8" s="1"/>
  <c r="H126" i="8"/>
  <c r="D126" i="8"/>
  <c r="J125" i="8"/>
  <c r="M125" i="8" s="1"/>
  <c r="H125" i="8"/>
  <c r="D125" i="8"/>
  <c r="M124" i="8"/>
  <c r="J124" i="8"/>
  <c r="H124" i="8"/>
  <c r="D124" i="8"/>
  <c r="J123" i="8"/>
  <c r="M123" i="8" s="1"/>
  <c r="H123" i="8"/>
  <c r="D123" i="8"/>
  <c r="J122" i="8"/>
  <c r="M122" i="8" s="1"/>
  <c r="H122" i="8"/>
  <c r="D122" i="8"/>
  <c r="J121" i="8"/>
  <c r="M121" i="8" s="1"/>
  <c r="H121" i="8"/>
  <c r="D121" i="8"/>
  <c r="M120" i="8"/>
  <c r="J120" i="8"/>
  <c r="H120" i="8"/>
  <c r="D120" i="8"/>
  <c r="J119" i="8"/>
  <c r="M119" i="8" s="1"/>
  <c r="H119" i="8"/>
  <c r="D119" i="8"/>
  <c r="J118" i="8"/>
  <c r="M118" i="8" s="1"/>
  <c r="H118" i="8"/>
  <c r="D118" i="8"/>
  <c r="J117" i="8"/>
  <c r="M117" i="8" s="1"/>
  <c r="H117" i="8"/>
  <c r="D117" i="8"/>
  <c r="M116" i="8"/>
  <c r="J116" i="8"/>
  <c r="H116" i="8"/>
  <c r="D116" i="8"/>
  <c r="J115" i="8"/>
  <c r="M115" i="8" s="1"/>
  <c r="H115" i="8"/>
  <c r="D115" i="8"/>
  <c r="J114" i="8"/>
  <c r="M114" i="8" s="1"/>
  <c r="H114" i="8"/>
  <c r="D114" i="8"/>
  <c r="J113" i="8"/>
  <c r="M113" i="8" s="1"/>
  <c r="H113" i="8"/>
  <c r="D113" i="8"/>
  <c r="M112" i="8"/>
  <c r="J112" i="8"/>
  <c r="H112" i="8"/>
  <c r="D112" i="8"/>
  <c r="J111" i="8"/>
  <c r="M111" i="8" s="1"/>
  <c r="H111" i="8"/>
  <c r="D111" i="8"/>
  <c r="J110" i="8"/>
  <c r="M110" i="8" s="1"/>
  <c r="H110" i="8"/>
  <c r="D110" i="8"/>
  <c r="J109" i="8"/>
  <c r="M109" i="8" s="1"/>
  <c r="H109" i="8"/>
  <c r="D109" i="8"/>
  <c r="M108" i="8"/>
  <c r="J108" i="8"/>
  <c r="H108" i="8"/>
  <c r="D108" i="8"/>
  <c r="J107" i="8"/>
  <c r="M107" i="8" s="1"/>
  <c r="H107" i="8"/>
  <c r="D107" i="8"/>
  <c r="J106" i="8"/>
  <c r="M106" i="8" s="1"/>
  <c r="H106" i="8"/>
  <c r="D106" i="8"/>
  <c r="J105" i="8"/>
  <c r="M105" i="8" s="1"/>
  <c r="H105" i="8"/>
  <c r="D105" i="8"/>
  <c r="M104" i="8"/>
  <c r="J104" i="8"/>
  <c r="H104" i="8"/>
  <c r="D104" i="8"/>
  <c r="J103" i="8"/>
  <c r="M103" i="8" s="1"/>
  <c r="H103" i="8"/>
  <c r="D103" i="8"/>
  <c r="J102" i="8"/>
  <c r="M102" i="8" s="1"/>
  <c r="H102" i="8"/>
  <c r="D102" i="8"/>
  <c r="J101" i="8"/>
  <c r="M101" i="8" s="1"/>
  <c r="H101" i="8"/>
  <c r="D101" i="8"/>
  <c r="M100" i="8"/>
  <c r="J100" i="8"/>
  <c r="H100" i="8"/>
  <c r="D100" i="8"/>
  <c r="J99" i="8"/>
  <c r="M99" i="8" s="1"/>
  <c r="H99" i="8"/>
  <c r="D99" i="8"/>
  <c r="J98" i="8"/>
  <c r="M98" i="8" s="1"/>
  <c r="H98" i="8"/>
  <c r="D98" i="8"/>
  <c r="J97" i="8"/>
  <c r="M97" i="8" s="1"/>
  <c r="H97" i="8"/>
  <c r="D97" i="8"/>
  <c r="M96" i="8"/>
  <c r="J96" i="8"/>
  <c r="H96" i="8"/>
  <c r="D96" i="8"/>
  <c r="J95" i="8"/>
  <c r="M95" i="8" s="1"/>
  <c r="H95" i="8"/>
  <c r="D95" i="8"/>
  <c r="J94" i="8"/>
  <c r="M94" i="8" s="1"/>
  <c r="H94" i="8"/>
  <c r="D94" i="8"/>
  <c r="J93" i="8"/>
  <c r="M93" i="8" s="1"/>
  <c r="H93" i="8"/>
  <c r="D93" i="8"/>
  <c r="M92" i="8"/>
  <c r="J92" i="8"/>
  <c r="H92" i="8"/>
  <c r="D92" i="8"/>
  <c r="J91" i="8"/>
  <c r="M91" i="8" s="1"/>
  <c r="H91" i="8"/>
  <c r="D91" i="8"/>
  <c r="J90" i="8"/>
  <c r="M90" i="8" s="1"/>
  <c r="H90" i="8"/>
  <c r="D90" i="8"/>
  <c r="J89" i="8"/>
  <c r="M89" i="8" s="1"/>
  <c r="H89" i="8"/>
  <c r="D89" i="8"/>
  <c r="M88" i="8"/>
  <c r="J88" i="8"/>
  <c r="H88" i="8"/>
  <c r="D88" i="8"/>
  <c r="J87" i="8"/>
  <c r="M87" i="8" s="1"/>
  <c r="H87" i="8"/>
  <c r="D87" i="8"/>
  <c r="J86" i="8"/>
  <c r="M86" i="8" s="1"/>
  <c r="H86" i="8"/>
  <c r="D86" i="8"/>
  <c r="J85" i="8"/>
  <c r="M85" i="8" s="1"/>
  <c r="H85" i="8"/>
  <c r="D85" i="8"/>
  <c r="M84" i="8"/>
  <c r="J84" i="8"/>
  <c r="H84" i="8"/>
  <c r="D84" i="8"/>
  <c r="J83" i="8"/>
  <c r="M83" i="8" s="1"/>
  <c r="H83" i="8"/>
  <c r="D83" i="8"/>
  <c r="J82" i="8"/>
  <c r="M82" i="8" s="1"/>
  <c r="H82" i="8"/>
  <c r="D82" i="8"/>
  <c r="J81" i="8"/>
  <c r="M81" i="8" s="1"/>
  <c r="H81" i="8"/>
  <c r="D81" i="8"/>
  <c r="M80" i="8"/>
  <c r="J80" i="8"/>
  <c r="H80" i="8"/>
  <c r="D80" i="8"/>
  <c r="J79" i="8"/>
  <c r="M79" i="8" s="1"/>
  <c r="H79" i="8"/>
  <c r="D79" i="8"/>
  <c r="J78" i="8"/>
  <c r="M78" i="8" s="1"/>
  <c r="H78" i="8"/>
  <c r="D78" i="8"/>
  <c r="J77" i="8"/>
  <c r="M77" i="8" s="1"/>
  <c r="H77" i="8"/>
  <c r="D77" i="8"/>
  <c r="M76" i="8"/>
  <c r="J76" i="8"/>
  <c r="H76" i="8"/>
  <c r="D76" i="8"/>
  <c r="J75" i="8"/>
  <c r="M75" i="8" s="1"/>
  <c r="H75" i="8"/>
  <c r="D75" i="8"/>
  <c r="J74" i="8"/>
  <c r="M74" i="8" s="1"/>
  <c r="H74" i="8"/>
  <c r="D74" i="8"/>
  <c r="J73" i="8"/>
  <c r="M73" i="8" s="1"/>
  <c r="H73" i="8"/>
  <c r="D73" i="8"/>
  <c r="M72" i="8"/>
  <c r="J72" i="8"/>
  <c r="H72" i="8"/>
  <c r="D72" i="8"/>
  <c r="J71" i="8"/>
  <c r="M71" i="8" s="1"/>
  <c r="H71" i="8"/>
  <c r="D71" i="8"/>
  <c r="J70" i="8"/>
  <c r="M70" i="8" s="1"/>
  <c r="H70" i="8"/>
  <c r="D70" i="8"/>
  <c r="J69" i="8"/>
  <c r="M69" i="8" s="1"/>
  <c r="H69" i="8"/>
  <c r="D69" i="8"/>
  <c r="M68" i="8"/>
  <c r="J68" i="8"/>
  <c r="H68" i="8"/>
  <c r="D68" i="8"/>
  <c r="J67" i="8"/>
  <c r="M67" i="8" s="1"/>
  <c r="H67" i="8"/>
  <c r="D67" i="8"/>
  <c r="J66" i="8"/>
  <c r="M66" i="8" s="1"/>
  <c r="H66" i="8"/>
  <c r="D66" i="8"/>
  <c r="J65" i="8"/>
  <c r="M65" i="8" s="1"/>
  <c r="H65" i="8"/>
  <c r="D65" i="8"/>
  <c r="M64" i="8"/>
  <c r="J64" i="8"/>
  <c r="H64" i="8"/>
  <c r="D64" i="8"/>
  <c r="J63" i="8"/>
  <c r="M63" i="8" s="1"/>
  <c r="H63" i="8"/>
  <c r="D63" i="8"/>
  <c r="J62" i="8"/>
  <c r="M62" i="8" s="1"/>
  <c r="H62" i="8"/>
  <c r="D62" i="8"/>
  <c r="J61" i="8"/>
  <c r="M61" i="8" s="1"/>
  <c r="H61" i="8"/>
  <c r="D61" i="8"/>
  <c r="M60" i="8"/>
  <c r="J60" i="8"/>
  <c r="H60" i="8"/>
  <c r="D60" i="8"/>
  <c r="J59" i="8"/>
  <c r="M59" i="8" s="1"/>
  <c r="H59" i="8"/>
  <c r="D59" i="8"/>
  <c r="J58" i="8"/>
  <c r="M58" i="8" s="1"/>
  <c r="H58" i="8"/>
  <c r="D58" i="8"/>
  <c r="J57" i="8"/>
  <c r="M57" i="8" s="1"/>
  <c r="H57" i="8"/>
  <c r="D57" i="8"/>
  <c r="M56" i="8"/>
  <c r="J56" i="8"/>
  <c r="H56" i="8"/>
  <c r="D56" i="8"/>
  <c r="J55" i="8"/>
  <c r="M55" i="8" s="1"/>
  <c r="H55" i="8"/>
  <c r="D55" i="8"/>
  <c r="J54" i="8"/>
  <c r="M54" i="8" s="1"/>
  <c r="H54" i="8"/>
  <c r="D54" i="8"/>
  <c r="J53" i="8"/>
  <c r="M53" i="8" s="1"/>
  <c r="H53" i="8"/>
  <c r="D53" i="8"/>
  <c r="M52" i="8"/>
  <c r="J52" i="8"/>
  <c r="H52" i="8"/>
  <c r="D52" i="8"/>
  <c r="J51" i="8"/>
  <c r="M51" i="8" s="1"/>
  <c r="H51" i="8"/>
  <c r="D51" i="8"/>
  <c r="J50" i="8"/>
  <c r="M50" i="8" s="1"/>
  <c r="H50" i="8"/>
  <c r="D50" i="8"/>
  <c r="J49" i="8"/>
  <c r="M49" i="8" s="1"/>
  <c r="H49" i="8"/>
  <c r="D49" i="8"/>
  <c r="M48" i="8"/>
  <c r="J48" i="8"/>
  <c r="H48" i="8"/>
  <c r="D48" i="8"/>
  <c r="J47" i="8"/>
  <c r="M47" i="8" s="1"/>
  <c r="H47" i="8"/>
  <c r="D47" i="8"/>
  <c r="J46" i="8"/>
  <c r="M46" i="8" s="1"/>
  <c r="H46" i="8"/>
  <c r="D46" i="8"/>
  <c r="J45" i="8"/>
  <c r="M45" i="8" s="1"/>
  <c r="H45" i="8"/>
  <c r="D45" i="8"/>
  <c r="M44" i="8"/>
  <c r="J44" i="8"/>
  <c r="H44" i="8"/>
  <c r="D44" i="8"/>
  <c r="J43" i="8"/>
  <c r="M43" i="8" s="1"/>
  <c r="H43" i="8"/>
  <c r="D43" i="8"/>
  <c r="J42" i="8"/>
  <c r="M42" i="8" s="1"/>
  <c r="H42" i="8"/>
  <c r="D42" i="8"/>
  <c r="J41" i="8"/>
  <c r="M41" i="8" s="1"/>
  <c r="H41" i="8"/>
  <c r="D41" i="8"/>
  <c r="M40" i="8"/>
  <c r="J40" i="8"/>
  <c r="H40" i="8"/>
  <c r="D40" i="8"/>
  <c r="J39" i="8"/>
  <c r="M39" i="8" s="1"/>
  <c r="H39" i="8"/>
  <c r="D39" i="8"/>
  <c r="J38" i="8"/>
  <c r="M38" i="8" s="1"/>
  <c r="H38" i="8"/>
  <c r="D38" i="8"/>
  <c r="J37" i="8"/>
  <c r="M37" i="8" s="1"/>
  <c r="H37" i="8"/>
  <c r="D37" i="8"/>
  <c r="M36" i="8"/>
  <c r="J36" i="8"/>
  <c r="H36" i="8"/>
  <c r="D36" i="8"/>
  <c r="J35" i="8"/>
  <c r="M35" i="8" s="1"/>
  <c r="H35" i="8"/>
  <c r="D35" i="8"/>
  <c r="J34" i="8"/>
  <c r="M34" i="8" s="1"/>
  <c r="H34" i="8"/>
  <c r="D34" i="8"/>
  <c r="J33" i="8"/>
  <c r="M33" i="8" s="1"/>
  <c r="H33" i="8"/>
  <c r="D33" i="8"/>
  <c r="M32" i="8"/>
  <c r="J32" i="8"/>
  <c r="H32" i="8"/>
  <c r="D32" i="8"/>
  <c r="J31" i="8"/>
  <c r="M31" i="8" s="1"/>
  <c r="H31" i="8"/>
  <c r="D31" i="8"/>
  <c r="J30" i="8"/>
  <c r="M30" i="8" s="1"/>
  <c r="H30" i="8"/>
  <c r="D30" i="8"/>
  <c r="J29" i="8"/>
  <c r="M29" i="8" s="1"/>
  <c r="H29" i="8"/>
  <c r="D29" i="8"/>
  <c r="M28" i="8"/>
  <c r="J28" i="8"/>
  <c r="H28" i="8"/>
  <c r="D28" i="8"/>
  <c r="J27" i="8"/>
  <c r="M27" i="8" s="1"/>
  <c r="H27" i="8"/>
  <c r="D27" i="8"/>
  <c r="J26" i="8"/>
  <c r="M26" i="8" s="1"/>
  <c r="H26" i="8"/>
  <c r="D26" i="8"/>
  <c r="J25" i="8"/>
  <c r="M25" i="8" s="1"/>
  <c r="H25" i="8"/>
  <c r="D25" i="8"/>
  <c r="M24" i="8"/>
  <c r="J24" i="8"/>
  <c r="H24" i="8"/>
  <c r="D24" i="8"/>
  <c r="J23" i="8"/>
  <c r="M23" i="8" s="1"/>
  <c r="H23" i="8"/>
  <c r="D23" i="8"/>
  <c r="J22" i="8"/>
  <c r="M22" i="8" s="1"/>
  <c r="H22" i="8"/>
  <c r="D22" i="8"/>
  <c r="J21" i="8"/>
  <c r="M21" i="8" s="1"/>
  <c r="H21" i="8"/>
  <c r="D21" i="8"/>
  <c r="M20" i="8"/>
  <c r="J20" i="8"/>
  <c r="H20" i="8"/>
  <c r="D20" i="8"/>
  <c r="J19" i="8"/>
  <c r="M19" i="8" s="1"/>
  <c r="H19" i="8"/>
  <c r="D19" i="8"/>
  <c r="J18" i="8"/>
  <c r="M18" i="8" s="1"/>
  <c r="H18" i="8"/>
  <c r="D18" i="8"/>
  <c r="J17" i="8"/>
  <c r="M17" i="8" s="1"/>
  <c r="H17" i="8"/>
  <c r="D17" i="8"/>
  <c r="M16" i="8"/>
  <c r="J16" i="8"/>
  <c r="H16" i="8"/>
  <c r="D16" i="8"/>
  <c r="J15" i="8"/>
  <c r="M15" i="8" s="1"/>
  <c r="H15" i="8"/>
  <c r="D15" i="8"/>
  <c r="J14" i="8"/>
  <c r="M14" i="8" s="1"/>
  <c r="H14" i="8"/>
  <c r="D14" i="8"/>
  <c r="J13" i="8"/>
  <c r="M13" i="8" s="1"/>
  <c r="H13" i="8"/>
  <c r="D13" i="8"/>
  <c r="M12" i="8"/>
  <c r="J12" i="8"/>
  <c r="H12" i="8"/>
  <c r="D12" i="8"/>
  <c r="J11" i="8"/>
  <c r="M11" i="8" s="1"/>
  <c r="H11" i="8"/>
  <c r="D11" i="8"/>
  <c r="J10" i="8"/>
  <c r="M10" i="8" s="1"/>
  <c r="H10" i="8"/>
  <c r="D10" i="8"/>
  <c r="J9" i="8"/>
  <c r="M9" i="8" s="1"/>
  <c r="H9" i="8"/>
  <c r="D9" i="8"/>
  <c r="M8" i="8"/>
  <c r="J8" i="8"/>
  <c r="H8" i="8"/>
  <c r="D8" i="8"/>
  <c r="J7" i="8"/>
  <c r="M7" i="8" s="1"/>
  <c r="H7" i="8"/>
  <c r="D7" i="8"/>
  <c r="J6" i="8"/>
  <c r="M6" i="8" s="1"/>
  <c r="H6" i="8"/>
  <c r="D6" i="8"/>
  <c r="J5" i="8"/>
  <c r="M5" i="8" s="1"/>
  <c r="H5" i="8"/>
  <c r="D5" i="8"/>
  <c r="P23" i="7"/>
  <c r="O23" i="7"/>
  <c r="L23" i="7"/>
  <c r="K23" i="7"/>
  <c r="J23" i="7"/>
  <c r="I23" i="7"/>
  <c r="H23" i="7"/>
  <c r="G23" i="7"/>
  <c r="F23" i="7"/>
  <c r="E23" i="7"/>
  <c r="P22" i="7"/>
  <c r="O22" i="7"/>
  <c r="L22" i="7"/>
  <c r="K22" i="7"/>
  <c r="J22" i="7"/>
  <c r="I22" i="7"/>
  <c r="H22" i="7"/>
  <c r="G22" i="7"/>
  <c r="M22" i="7" s="1"/>
  <c r="N22" i="7" s="1"/>
  <c r="F22" i="7"/>
  <c r="E22" i="7"/>
  <c r="P21" i="7"/>
  <c r="O21" i="7"/>
  <c r="L21" i="7"/>
  <c r="K21" i="7"/>
  <c r="J21" i="7"/>
  <c r="I21" i="7"/>
  <c r="H21" i="7"/>
  <c r="G21" i="7"/>
  <c r="F21" i="7"/>
  <c r="E21" i="7"/>
  <c r="P20" i="7"/>
  <c r="O20" i="7"/>
  <c r="L20" i="7"/>
  <c r="K20" i="7"/>
  <c r="J20" i="7"/>
  <c r="I20" i="7"/>
  <c r="H20" i="7"/>
  <c r="G20" i="7"/>
  <c r="F20" i="7"/>
  <c r="E20" i="7"/>
  <c r="P19" i="7"/>
  <c r="O19" i="7"/>
  <c r="L19" i="7"/>
  <c r="K19" i="7"/>
  <c r="J19" i="7"/>
  <c r="I19" i="7"/>
  <c r="H19" i="7"/>
  <c r="G19" i="7"/>
  <c r="F19" i="7"/>
  <c r="E19" i="7"/>
  <c r="P18" i="7"/>
  <c r="O18" i="7"/>
  <c r="L18" i="7"/>
  <c r="K18" i="7"/>
  <c r="J18" i="7"/>
  <c r="I18" i="7"/>
  <c r="H18" i="7"/>
  <c r="G18" i="7"/>
  <c r="M18" i="7" s="1"/>
  <c r="N18" i="7" s="1"/>
  <c r="F18" i="7"/>
  <c r="E18" i="7"/>
  <c r="P17" i="7"/>
  <c r="O17" i="7"/>
  <c r="L17" i="7"/>
  <c r="K17" i="7"/>
  <c r="J17" i="7"/>
  <c r="I17" i="7"/>
  <c r="H17" i="7"/>
  <c r="G17" i="7"/>
  <c r="F17" i="7"/>
  <c r="E17" i="7"/>
  <c r="P16" i="7"/>
  <c r="O16" i="7"/>
  <c r="L16" i="7"/>
  <c r="K16" i="7"/>
  <c r="J16" i="7"/>
  <c r="I16" i="7"/>
  <c r="H16" i="7"/>
  <c r="G16" i="7"/>
  <c r="F16" i="7"/>
  <c r="E16" i="7"/>
  <c r="P15" i="7"/>
  <c r="O15" i="7"/>
  <c r="L15" i="7"/>
  <c r="K15" i="7"/>
  <c r="J15" i="7"/>
  <c r="I15" i="7"/>
  <c r="H15" i="7"/>
  <c r="G15" i="7"/>
  <c r="F15" i="7"/>
  <c r="E15" i="7"/>
  <c r="P14" i="7"/>
  <c r="O14" i="7"/>
  <c r="L14" i="7"/>
  <c r="K14" i="7"/>
  <c r="J14" i="7"/>
  <c r="I14" i="7"/>
  <c r="H14" i="7"/>
  <c r="G14" i="7"/>
  <c r="M14" i="7" s="1"/>
  <c r="N14" i="7" s="1"/>
  <c r="F14" i="7"/>
  <c r="E14" i="7"/>
  <c r="P13" i="7"/>
  <c r="O13" i="7"/>
  <c r="L13" i="7"/>
  <c r="K13" i="7"/>
  <c r="J13" i="7"/>
  <c r="I13" i="7"/>
  <c r="H13" i="7"/>
  <c r="G13" i="7"/>
  <c r="F13" i="7"/>
  <c r="E13" i="7"/>
  <c r="M13" i="7" s="1"/>
  <c r="N13" i="7" s="1"/>
  <c r="P12" i="7"/>
  <c r="O12" i="7"/>
  <c r="N12" i="7"/>
  <c r="L12" i="7"/>
  <c r="K12" i="7"/>
  <c r="J12" i="7"/>
  <c r="I12" i="7"/>
  <c r="H12" i="7"/>
  <c r="G12" i="7"/>
  <c r="F12" i="7"/>
  <c r="E12" i="7"/>
  <c r="P11" i="7"/>
  <c r="O11" i="7"/>
  <c r="L11" i="7"/>
  <c r="K11" i="7"/>
  <c r="J11" i="7"/>
  <c r="I11" i="7"/>
  <c r="H11" i="7"/>
  <c r="G11" i="7"/>
  <c r="F11" i="7"/>
  <c r="M11" i="7" s="1"/>
  <c r="N11" i="7" s="1"/>
  <c r="E11" i="7"/>
  <c r="P10" i="7"/>
  <c r="O10" i="7"/>
  <c r="L10" i="7"/>
  <c r="K10" i="7"/>
  <c r="J10" i="7"/>
  <c r="I10" i="7"/>
  <c r="H10" i="7"/>
  <c r="G10" i="7"/>
  <c r="F10" i="7"/>
  <c r="E10" i="7"/>
  <c r="M10" i="7" s="1"/>
  <c r="N10" i="7" s="1"/>
  <c r="P9" i="7"/>
  <c r="O9" i="7"/>
  <c r="L9" i="7"/>
  <c r="K9" i="7"/>
  <c r="J9" i="7"/>
  <c r="I9" i="7"/>
  <c r="H9" i="7"/>
  <c r="G9" i="7"/>
  <c r="F9" i="7"/>
  <c r="E9" i="7"/>
  <c r="P8" i="7"/>
  <c r="O8" i="7"/>
  <c r="L8" i="7"/>
  <c r="K8" i="7"/>
  <c r="J8" i="7"/>
  <c r="M8" i="7" s="1"/>
  <c r="N8" i="7" s="1"/>
  <c r="I8" i="7"/>
  <c r="H8" i="7"/>
  <c r="G8" i="7"/>
  <c r="F8" i="7"/>
  <c r="E8" i="7"/>
  <c r="P7" i="7"/>
  <c r="O7" i="7"/>
  <c r="L7" i="7"/>
  <c r="K7" i="7"/>
  <c r="J7" i="7"/>
  <c r="I7" i="7"/>
  <c r="H7" i="7"/>
  <c r="M7" i="7" s="1"/>
  <c r="N7" i="7" s="1"/>
  <c r="G7" i="7"/>
  <c r="F7" i="7"/>
  <c r="E7" i="7"/>
  <c r="P6" i="7"/>
  <c r="O6" i="7"/>
  <c r="L6" i="7"/>
  <c r="K6" i="7"/>
  <c r="M6" i="7" s="1"/>
  <c r="N6" i="7" s="1"/>
  <c r="J6" i="7"/>
  <c r="I6" i="7"/>
  <c r="H6" i="7"/>
  <c r="G6" i="7"/>
  <c r="F6" i="7"/>
  <c r="E6" i="7"/>
  <c r="P5" i="7"/>
  <c r="O5" i="7"/>
  <c r="L5" i="7"/>
  <c r="K5" i="7"/>
  <c r="J5" i="7"/>
  <c r="I5" i="7"/>
  <c r="H5" i="7"/>
  <c r="G5" i="7"/>
  <c r="F5" i="7"/>
  <c r="E5" i="7"/>
  <c r="G304" i="6"/>
  <c r="H304" i="6" s="1"/>
  <c r="D304" i="6"/>
  <c r="H303" i="6"/>
  <c r="G303" i="6"/>
  <c r="D303" i="6"/>
  <c r="H302" i="6"/>
  <c r="G302" i="6"/>
  <c r="D302" i="6"/>
  <c r="G301" i="6"/>
  <c r="H301" i="6" s="1"/>
  <c r="D301" i="6"/>
  <c r="G300" i="6"/>
  <c r="H300" i="6" s="1"/>
  <c r="D300" i="6"/>
  <c r="G299" i="6"/>
  <c r="H299" i="6" s="1"/>
  <c r="D299" i="6"/>
  <c r="G298" i="6"/>
  <c r="H298" i="6" s="1"/>
  <c r="D298" i="6"/>
  <c r="G297" i="6"/>
  <c r="H297" i="6" s="1"/>
  <c r="D297" i="6"/>
  <c r="G296" i="6"/>
  <c r="H296" i="6" s="1"/>
  <c r="D296" i="6"/>
  <c r="G295" i="6"/>
  <c r="H295" i="6" s="1"/>
  <c r="D295" i="6"/>
  <c r="G294" i="6"/>
  <c r="H294" i="6" s="1"/>
  <c r="D294" i="6"/>
  <c r="H293" i="6"/>
  <c r="G293" i="6"/>
  <c r="D293" i="6"/>
  <c r="G292" i="6"/>
  <c r="H292" i="6" s="1"/>
  <c r="D292" i="6"/>
  <c r="H291" i="6"/>
  <c r="G291" i="6"/>
  <c r="D291" i="6"/>
  <c r="G290" i="6"/>
  <c r="H290" i="6" s="1"/>
  <c r="D290" i="6"/>
  <c r="H289" i="6"/>
  <c r="G289" i="6"/>
  <c r="D289" i="6"/>
  <c r="G288" i="6"/>
  <c r="H288" i="6" s="1"/>
  <c r="D288" i="6"/>
  <c r="G287" i="6"/>
  <c r="H287" i="6" s="1"/>
  <c r="D287" i="6"/>
  <c r="H286" i="6"/>
  <c r="G286" i="6"/>
  <c r="D286" i="6"/>
  <c r="G285" i="6"/>
  <c r="H285" i="6" s="1"/>
  <c r="D285" i="6"/>
  <c r="G284" i="6"/>
  <c r="H284" i="6" s="1"/>
  <c r="D284" i="6"/>
  <c r="G283" i="6"/>
  <c r="H283" i="6" s="1"/>
  <c r="D283" i="6"/>
  <c r="G282" i="6"/>
  <c r="H282" i="6" s="1"/>
  <c r="D282" i="6"/>
  <c r="G281" i="6"/>
  <c r="H281" i="6" s="1"/>
  <c r="D281" i="6"/>
  <c r="G280" i="6"/>
  <c r="H280" i="6" s="1"/>
  <c r="D280" i="6"/>
  <c r="G279" i="6"/>
  <c r="H279" i="6" s="1"/>
  <c r="D279" i="6"/>
  <c r="G278" i="6"/>
  <c r="H278" i="6" s="1"/>
  <c r="D278" i="6"/>
  <c r="H277" i="6"/>
  <c r="G277" i="6"/>
  <c r="D277" i="6"/>
  <c r="H276" i="6"/>
  <c r="G276" i="6"/>
  <c r="D276" i="6"/>
  <c r="H275" i="6"/>
  <c r="G275" i="6"/>
  <c r="D275" i="6"/>
  <c r="G274" i="6"/>
  <c r="H274" i="6" s="1"/>
  <c r="D274" i="6"/>
  <c r="H273" i="6"/>
  <c r="G273" i="6"/>
  <c r="D273" i="6"/>
  <c r="H272" i="6"/>
  <c r="G272" i="6"/>
  <c r="D272" i="6"/>
  <c r="G271" i="6"/>
  <c r="H271" i="6" s="1"/>
  <c r="D271" i="6"/>
  <c r="H270" i="6"/>
  <c r="G270" i="6"/>
  <c r="D270" i="6"/>
  <c r="H269" i="6"/>
  <c r="G269" i="6"/>
  <c r="D269" i="6"/>
  <c r="G268" i="6"/>
  <c r="H268" i="6" s="1"/>
  <c r="D268" i="6"/>
  <c r="G267" i="6"/>
  <c r="H267" i="6" s="1"/>
  <c r="D267" i="6"/>
  <c r="G266" i="6"/>
  <c r="H266" i="6" s="1"/>
  <c r="D266" i="6"/>
  <c r="H265" i="6"/>
  <c r="G265" i="6"/>
  <c r="D265" i="6"/>
  <c r="G264" i="6"/>
  <c r="H264" i="6" s="1"/>
  <c r="D264" i="6"/>
  <c r="H263" i="6"/>
  <c r="G263" i="6"/>
  <c r="D263" i="6"/>
  <c r="G262" i="6"/>
  <c r="H262" i="6" s="1"/>
  <c r="D262" i="6"/>
  <c r="H261" i="6"/>
  <c r="G261" i="6"/>
  <c r="D261" i="6"/>
  <c r="G260" i="6"/>
  <c r="H260" i="6" s="1"/>
  <c r="D260" i="6"/>
  <c r="G259" i="6"/>
  <c r="H259" i="6" s="1"/>
  <c r="D259" i="6"/>
  <c r="G258" i="6"/>
  <c r="H258" i="6" s="1"/>
  <c r="D258" i="6"/>
  <c r="H257" i="6"/>
  <c r="G257" i="6"/>
  <c r="D257" i="6"/>
  <c r="G256" i="6"/>
  <c r="H256" i="6" s="1"/>
  <c r="D256" i="6"/>
  <c r="G255" i="6"/>
  <c r="H255" i="6" s="1"/>
  <c r="D255" i="6"/>
  <c r="H254" i="6"/>
  <c r="G254" i="6"/>
  <c r="D254" i="6"/>
  <c r="G253" i="6"/>
  <c r="H253" i="6" s="1"/>
  <c r="D253" i="6"/>
  <c r="G252" i="6"/>
  <c r="H252" i="6" s="1"/>
  <c r="D252" i="6"/>
  <c r="H251" i="6"/>
  <c r="G251" i="6"/>
  <c r="D251" i="6"/>
  <c r="G250" i="6"/>
  <c r="H250" i="6" s="1"/>
  <c r="D250" i="6"/>
  <c r="H249" i="6"/>
  <c r="G249" i="6"/>
  <c r="D249" i="6"/>
  <c r="G248" i="6"/>
  <c r="H248" i="6" s="1"/>
  <c r="D248" i="6"/>
  <c r="G247" i="6"/>
  <c r="H247" i="6" s="1"/>
  <c r="D247" i="6"/>
  <c r="G246" i="6"/>
  <c r="H246" i="6" s="1"/>
  <c r="D246" i="6"/>
  <c r="H245" i="6"/>
  <c r="G245" i="6"/>
  <c r="D245" i="6"/>
  <c r="G244" i="6"/>
  <c r="H244" i="6" s="1"/>
  <c r="D244" i="6"/>
  <c r="G243" i="6"/>
  <c r="H243" i="6" s="1"/>
  <c r="D243" i="6"/>
  <c r="G242" i="6"/>
  <c r="H242" i="6" s="1"/>
  <c r="D242" i="6"/>
  <c r="H241" i="6"/>
  <c r="G241" i="6"/>
  <c r="D241" i="6"/>
  <c r="G240" i="6"/>
  <c r="H240" i="6" s="1"/>
  <c r="D240" i="6"/>
  <c r="H239" i="6"/>
  <c r="G239" i="6"/>
  <c r="D239" i="6"/>
  <c r="H238" i="6"/>
  <c r="G238" i="6"/>
  <c r="D238" i="6"/>
  <c r="G237" i="6"/>
  <c r="H237" i="6" s="1"/>
  <c r="D237" i="6"/>
  <c r="H236" i="6"/>
  <c r="G236" i="6"/>
  <c r="D236" i="6"/>
  <c r="G235" i="6"/>
  <c r="H235" i="6" s="1"/>
  <c r="D235" i="6"/>
  <c r="G234" i="6"/>
  <c r="H234" i="6" s="1"/>
  <c r="D234" i="6"/>
  <c r="G233" i="6"/>
  <c r="H233" i="6" s="1"/>
  <c r="D233" i="6"/>
  <c r="G232" i="6"/>
  <c r="H232" i="6" s="1"/>
  <c r="D232" i="6"/>
  <c r="G231" i="6"/>
  <c r="H231" i="6" s="1"/>
  <c r="D231" i="6"/>
  <c r="G230" i="6"/>
  <c r="H230" i="6" s="1"/>
  <c r="D230" i="6"/>
  <c r="H229" i="6"/>
  <c r="G229" i="6"/>
  <c r="D229" i="6"/>
  <c r="H228" i="6"/>
  <c r="G228" i="6"/>
  <c r="D228" i="6"/>
  <c r="G227" i="6"/>
  <c r="H227" i="6" s="1"/>
  <c r="D227" i="6"/>
  <c r="H226" i="6"/>
  <c r="G226" i="6"/>
  <c r="D226" i="6"/>
  <c r="G225" i="6"/>
  <c r="H225" i="6" s="1"/>
  <c r="D225" i="6"/>
  <c r="H224" i="6"/>
  <c r="G224" i="6"/>
  <c r="D224" i="6"/>
  <c r="G223" i="6"/>
  <c r="H223" i="6" s="1"/>
  <c r="D223" i="6"/>
  <c r="H222" i="6"/>
  <c r="G222" i="6"/>
  <c r="D222" i="6"/>
  <c r="G221" i="6"/>
  <c r="H221" i="6" s="1"/>
  <c r="D221" i="6"/>
  <c r="H220" i="6"/>
  <c r="G220" i="6"/>
  <c r="D220" i="6"/>
  <c r="G219" i="6"/>
  <c r="H219" i="6" s="1"/>
  <c r="D219" i="6"/>
  <c r="G218" i="6"/>
  <c r="H218" i="6" s="1"/>
  <c r="D218" i="6"/>
  <c r="G217" i="6"/>
  <c r="H217" i="6" s="1"/>
  <c r="D217" i="6"/>
  <c r="G216" i="6"/>
  <c r="H216" i="6" s="1"/>
  <c r="D216" i="6"/>
  <c r="G215" i="6"/>
  <c r="H215" i="6" s="1"/>
  <c r="D215" i="6"/>
  <c r="H214" i="6"/>
  <c r="G214" i="6"/>
  <c r="D214" i="6"/>
  <c r="H213" i="6"/>
  <c r="G213" i="6"/>
  <c r="D213" i="6"/>
  <c r="G212" i="6"/>
  <c r="H212" i="6" s="1"/>
  <c r="D212" i="6"/>
  <c r="G211" i="6"/>
  <c r="H211" i="6" s="1"/>
  <c r="D211" i="6"/>
  <c r="H210" i="6"/>
  <c r="G210" i="6"/>
  <c r="D210" i="6"/>
  <c r="H209" i="6"/>
  <c r="G209" i="6"/>
  <c r="D209" i="6"/>
  <c r="G208" i="6"/>
  <c r="H208" i="6" s="1"/>
  <c r="D208" i="6"/>
  <c r="H207" i="6"/>
  <c r="G207" i="6"/>
  <c r="D207" i="6"/>
  <c r="H206" i="6"/>
  <c r="G206" i="6"/>
  <c r="D206" i="6"/>
  <c r="G205" i="6"/>
  <c r="H205" i="6" s="1"/>
  <c r="D205" i="6"/>
  <c r="G204" i="6"/>
  <c r="H204" i="6" s="1"/>
  <c r="D204" i="6"/>
  <c r="H203" i="6"/>
  <c r="G203" i="6"/>
  <c r="D203" i="6"/>
  <c r="G202" i="6"/>
  <c r="H202" i="6" s="1"/>
  <c r="D202" i="6"/>
  <c r="G201" i="6"/>
  <c r="H201" i="6" s="1"/>
  <c r="D201" i="6"/>
  <c r="G200" i="6"/>
  <c r="H200" i="6" s="1"/>
  <c r="D200" i="6"/>
  <c r="G199" i="6"/>
  <c r="H199" i="6" s="1"/>
  <c r="D199" i="6"/>
  <c r="G198" i="6"/>
  <c r="H198" i="6" s="1"/>
  <c r="D198" i="6"/>
  <c r="H197" i="6"/>
  <c r="G197" i="6"/>
  <c r="D197" i="6"/>
  <c r="G196" i="6"/>
  <c r="H196" i="6" s="1"/>
  <c r="D196" i="6"/>
  <c r="G195" i="6"/>
  <c r="H195" i="6" s="1"/>
  <c r="D195" i="6"/>
  <c r="G194" i="6"/>
  <c r="H194" i="6" s="1"/>
  <c r="D194" i="6"/>
  <c r="H193" i="6"/>
  <c r="G193" i="6"/>
  <c r="D193" i="6"/>
  <c r="H192" i="6"/>
  <c r="G192" i="6"/>
  <c r="D192" i="6"/>
  <c r="G191" i="6"/>
  <c r="H191" i="6" s="1"/>
  <c r="D191" i="6"/>
  <c r="H190" i="6"/>
  <c r="G190" i="6"/>
  <c r="D190" i="6"/>
  <c r="G189" i="6"/>
  <c r="H189" i="6" s="1"/>
  <c r="D189" i="6"/>
  <c r="G188" i="6"/>
  <c r="H188" i="6" s="1"/>
  <c r="D188" i="6"/>
  <c r="G187" i="6"/>
  <c r="H187" i="6" s="1"/>
  <c r="D187" i="6"/>
  <c r="G186" i="6"/>
  <c r="H186" i="6" s="1"/>
  <c r="D186" i="6"/>
  <c r="G185" i="6"/>
  <c r="H185" i="6" s="1"/>
  <c r="D185" i="6"/>
  <c r="G184" i="6"/>
  <c r="H184" i="6" s="1"/>
  <c r="D184" i="6"/>
  <c r="G183" i="6"/>
  <c r="H183" i="6" s="1"/>
  <c r="D183" i="6"/>
  <c r="H182" i="6"/>
  <c r="G182" i="6"/>
  <c r="D182" i="6"/>
  <c r="H181" i="6"/>
  <c r="G181" i="6"/>
  <c r="D181" i="6"/>
  <c r="G180" i="6"/>
  <c r="H180" i="6" s="1"/>
  <c r="D180" i="6"/>
  <c r="G179" i="6"/>
  <c r="H179" i="6" s="1"/>
  <c r="D179" i="6"/>
  <c r="G178" i="6"/>
  <c r="H178" i="6" s="1"/>
  <c r="D178" i="6"/>
  <c r="H177" i="6"/>
  <c r="G177" i="6"/>
  <c r="D177" i="6"/>
  <c r="G176" i="6"/>
  <c r="H176" i="6" s="1"/>
  <c r="D176" i="6"/>
  <c r="G175" i="6"/>
  <c r="H175" i="6" s="1"/>
  <c r="D175" i="6"/>
  <c r="H174" i="6"/>
  <c r="G174" i="6"/>
  <c r="D174" i="6"/>
  <c r="G173" i="6"/>
  <c r="H173" i="6" s="1"/>
  <c r="D173" i="6"/>
  <c r="G172" i="6"/>
  <c r="H172" i="6" s="1"/>
  <c r="D172" i="6"/>
  <c r="H171" i="6"/>
  <c r="G171" i="6"/>
  <c r="D171" i="6"/>
  <c r="G170" i="6"/>
  <c r="H170" i="6" s="1"/>
  <c r="D170" i="6"/>
  <c r="H169" i="6"/>
  <c r="G169" i="6"/>
  <c r="D169" i="6"/>
  <c r="G168" i="6"/>
  <c r="H168" i="6" s="1"/>
  <c r="D168" i="6"/>
  <c r="G167" i="6"/>
  <c r="H167" i="6" s="1"/>
  <c r="D167" i="6"/>
  <c r="H166" i="6"/>
  <c r="G166" i="6"/>
  <c r="D166" i="6"/>
  <c r="H165" i="6"/>
  <c r="G165" i="6"/>
  <c r="D165" i="6"/>
  <c r="G164" i="6"/>
  <c r="H164" i="6" s="1"/>
  <c r="D164" i="6"/>
  <c r="G163" i="6"/>
  <c r="H163" i="6" s="1"/>
  <c r="D163" i="6"/>
  <c r="H162" i="6"/>
  <c r="G162" i="6"/>
  <c r="D162" i="6"/>
  <c r="G161" i="6"/>
  <c r="H161" i="6" s="1"/>
  <c r="D161" i="6"/>
  <c r="G160" i="6"/>
  <c r="H160" i="6" s="1"/>
  <c r="D160" i="6"/>
  <c r="G159" i="6"/>
  <c r="H159" i="6" s="1"/>
  <c r="D159" i="6"/>
  <c r="H158" i="6"/>
  <c r="G158" i="6"/>
  <c r="D158" i="6"/>
  <c r="G157" i="6"/>
  <c r="H157" i="6" s="1"/>
  <c r="D157" i="6"/>
  <c r="G156" i="6"/>
  <c r="H156" i="6" s="1"/>
  <c r="D156" i="6"/>
  <c r="H155" i="6"/>
  <c r="G155" i="6"/>
  <c r="D155" i="6"/>
  <c r="G154" i="6"/>
  <c r="H154" i="6" s="1"/>
  <c r="D154" i="6"/>
  <c r="H153" i="6"/>
  <c r="G153" i="6"/>
  <c r="D153" i="6"/>
  <c r="G152" i="6"/>
  <c r="H152" i="6" s="1"/>
  <c r="D152" i="6"/>
  <c r="H151" i="6"/>
  <c r="G151" i="6"/>
  <c r="D151" i="6"/>
  <c r="G150" i="6"/>
  <c r="H150" i="6" s="1"/>
  <c r="D150" i="6"/>
  <c r="H149" i="6"/>
  <c r="G149" i="6"/>
  <c r="D149" i="6"/>
  <c r="G148" i="6"/>
  <c r="H148" i="6" s="1"/>
  <c r="D148" i="6"/>
  <c r="G147" i="6"/>
  <c r="H147" i="6" s="1"/>
  <c r="D147" i="6"/>
  <c r="G146" i="6"/>
  <c r="H146" i="6" s="1"/>
  <c r="D146" i="6"/>
  <c r="G145" i="6"/>
  <c r="H145" i="6" s="1"/>
  <c r="D145" i="6"/>
  <c r="G144" i="6"/>
  <c r="H144" i="6" s="1"/>
  <c r="D144" i="6"/>
  <c r="H143" i="6"/>
  <c r="G143" i="6"/>
  <c r="D143" i="6"/>
  <c r="H142" i="6"/>
  <c r="G142" i="6"/>
  <c r="D142" i="6"/>
  <c r="G141" i="6"/>
  <c r="H141" i="6" s="1"/>
  <c r="D141" i="6"/>
  <c r="H140" i="6"/>
  <c r="G140" i="6"/>
  <c r="D140" i="6"/>
  <c r="G139" i="6"/>
  <c r="H139" i="6" s="1"/>
  <c r="D139" i="6"/>
  <c r="G138" i="6"/>
  <c r="H138" i="6" s="1"/>
  <c r="D138" i="6"/>
  <c r="H137" i="6"/>
  <c r="G137" i="6"/>
  <c r="D137" i="6"/>
  <c r="G136" i="6"/>
  <c r="H136" i="6" s="1"/>
  <c r="D136" i="6"/>
  <c r="G135" i="6"/>
  <c r="H135" i="6" s="1"/>
  <c r="D135" i="6"/>
  <c r="G134" i="6"/>
  <c r="H134" i="6" s="1"/>
  <c r="D134" i="6"/>
  <c r="H133" i="6"/>
  <c r="G133" i="6"/>
  <c r="D133" i="6"/>
  <c r="H132" i="6"/>
  <c r="G132" i="6"/>
  <c r="D132" i="6"/>
  <c r="G131" i="6"/>
  <c r="H131" i="6" s="1"/>
  <c r="D131" i="6"/>
  <c r="H130" i="6"/>
  <c r="G130" i="6"/>
  <c r="D130" i="6"/>
  <c r="G129" i="6"/>
  <c r="H129" i="6" s="1"/>
  <c r="D129" i="6"/>
  <c r="G128" i="6"/>
  <c r="H128" i="6" s="1"/>
  <c r="D128" i="6"/>
  <c r="H127" i="6"/>
  <c r="G127" i="6"/>
  <c r="D127" i="6"/>
  <c r="H126" i="6"/>
  <c r="G126" i="6"/>
  <c r="D126" i="6"/>
  <c r="G125" i="6"/>
  <c r="H125" i="6" s="1"/>
  <c r="D125" i="6"/>
  <c r="G124" i="6"/>
  <c r="H124" i="6" s="1"/>
  <c r="D124" i="6"/>
  <c r="G123" i="6"/>
  <c r="H123" i="6" s="1"/>
  <c r="D123" i="6"/>
  <c r="G122" i="6"/>
  <c r="H122" i="6" s="1"/>
  <c r="D122" i="6"/>
  <c r="G121" i="6"/>
  <c r="H121" i="6" s="1"/>
  <c r="D121" i="6"/>
  <c r="G120" i="6"/>
  <c r="H120" i="6" s="1"/>
  <c r="D120" i="6"/>
  <c r="H119" i="6"/>
  <c r="G119" i="6"/>
  <c r="D119" i="6"/>
  <c r="G118" i="6"/>
  <c r="H118" i="6" s="1"/>
  <c r="D118" i="6"/>
  <c r="H117" i="6"/>
  <c r="G117" i="6"/>
  <c r="D117" i="6"/>
  <c r="H116" i="6"/>
  <c r="G116" i="6"/>
  <c r="D116" i="6"/>
  <c r="G115" i="6"/>
  <c r="H115" i="6" s="1"/>
  <c r="D115" i="6"/>
  <c r="H114" i="6"/>
  <c r="G114" i="6"/>
  <c r="D114" i="6"/>
  <c r="G113" i="6"/>
  <c r="H113" i="6" s="1"/>
  <c r="D113" i="6"/>
  <c r="H112" i="6"/>
  <c r="G112" i="6"/>
  <c r="D112" i="6"/>
  <c r="G111" i="6"/>
  <c r="H111" i="6" s="1"/>
  <c r="D111" i="6"/>
  <c r="H110" i="6"/>
  <c r="G110" i="6"/>
  <c r="D110" i="6"/>
  <c r="G109" i="6"/>
  <c r="H109" i="6" s="1"/>
  <c r="D109" i="6"/>
  <c r="H108" i="6"/>
  <c r="G108" i="6"/>
  <c r="D108" i="6"/>
  <c r="G107" i="6"/>
  <c r="H107" i="6" s="1"/>
  <c r="D107" i="6"/>
  <c r="G106" i="6"/>
  <c r="H106" i="6" s="1"/>
  <c r="D106" i="6"/>
  <c r="G105" i="6"/>
  <c r="H105" i="6" s="1"/>
  <c r="D105" i="6"/>
  <c r="H104" i="6"/>
  <c r="G104" i="6"/>
  <c r="D104" i="6"/>
  <c r="H103" i="6"/>
  <c r="G103" i="6"/>
  <c r="D103" i="6"/>
  <c r="G102" i="6"/>
  <c r="H102" i="6" s="1"/>
  <c r="D102" i="6"/>
  <c r="H101" i="6"/>
  <c r="G101" i="6"/>
  <c r="D101" i="6"/>
  <c r="G100" i="6"/>
  <c r="H100" i="6" s="1"/>
  <c r="D100" i="6"/>
  <c r="G99" i="6"/>
  <c r="H99" i="6" s="1"/>
  <c r="D99" i="6"/>
  <c r="H98" i="6"/>
  <c r="G98" i="6"/>
  <c r="D98" i="6"/>
  <c r="G97" i="6"/>
  <c r="H97" i="6" s="1"/>
  <c r="D97" i="6"/>
  <c r="G96" i="6"/>
  <c r="H96" i="6" s="1"/>
  <c r="D96" i="6"/>
  <c r="G95" i="6"/>
  <c r="H95" i="6" s="1"/>
  <c r="D95" i="6"/>
  <c r="H94" i="6"/>
  <c r="G94" i="6"/>
  <c r="D94" i="6"/>
  <c r="H93" i="6"/>
  <c r="G93" i="6"/>
  <c r="D93" i="6"/>
  <c r="H92" i="6"/>
  <c r="G92" i="6"/>
  <c r="D92" i="6"/>
  <c r="G91" i="6"/>
  <c r="H91" i="6" s="1"/>
  <c r="D91" i="6"/>
  <c r="G90" i="6"/>
  <c r="H90" i="6" s="1"/>
  <c r="D90" i="6"/>
  <c r="G89" i="6"/>
  <c r="H89" i="6" s="1"/>
  <c r="D89" i="6"/>
  <c r="H88" i="6"/>
  <c r="G88" i="6"/>
  <c r="D88" i="6"/>
  <c r="H87" i="6"/>
  <c r="G87" i="6"/>
  <c r="D87" i="6"/>
  <c r="G86" i="6"/>
  <c r="H86" i="6" s="1"/>
  <c r="D86" i="6"/>
  <c r="H85" i="6"/>
  <c r="G85" i="6"/>
  <c r="D85" i="6"/>
  <c r="G84" i="6"/>
  <c r="H84" i="6" s="1"/>
  <c r="D84" i="6"/>
  <c r="G83" i="6"/>
  <c r="H83" i="6" s="1"/>
  <c r="D83" i="6"/>
  <c r="G82" i="6"/>
  <c r="H82" i="6" s="1"/>
  <c r="D82" i="6"/>
  <c r="G81" i="6"/>
  <c r="H81" i="6" s="1"/>
  <c r="D81" i="6"/>
  <c r="H80" i="6"/>
  <c r="G80" i="6"/>
  <c r="D80" i="6"/>
  <c r="G79" i="6"/>
  <c r="H79" i="6" s="1"/>
  <c r="D79" i="6"/>
  <c r="H78" i="6"/>
  <c r="G78" i="6"/>
  <c r="D78" i="6"/>
  <c r="H77" i="6"/>
  <c r="G77" i="6"/>
  <c r="D77" i="6"/>
  <c r="H76" i="6"/>
  <c r="G76" i="6"/>
  <c r="D76" i="6"/>
  <c r="G75" i="6"/>
  <c r="H75" i="6" s="1"/>
  <c r="D75" i="6"/>
  <c r="G74" i="6"/>
  <c r="H74" i="6" s="1"/>
  <c r="D74" i="6"/>
  <c r="H73" i="6"/>
  <c r="G73" i="6"/>
  <c r="D73" i="6"/>
  <c r="G72" i="6"/>
  <c r="H72" i="6" s="1"/>
  <c r="D72" i="6"/>
  <c r="G71" i="6"/>
  <c r="H71" i="6" s="1"/>
  <c r="D71" i="6"/>
  <c r="G70" i="6"/>
  <c r="H70" i="6" s="1"/>
  <c r="D70" i="6"/>
  <c r="H69" i="6"/>
  <c r="G69" i="6"/>
  <c r="D69" i="6"/>
  <c r="G68" i="6"/>
  <c r="H68" i="6" s="1"/>
  <c r="D68" i="6"/>
  <c r="G67" i="6"/>
  <c r="H67" i="6" s="1"/>
  <c r="D67" i="6"/>
  <c r="H66" i="6"/>
  <c r="G66" i="6"/>
  <c r="D66" i="6"/>
  <c r="H65" i="6"/>
  <c r="G65" i="6"/>
  <c r="D65" i="6"/>
  <c r="G64" i="6"/>
  <c r="H64" i="6" s="1"/>
  <c r="D64" i="6"/>
  <c r="G63" i="6"/>
  <c r="H63" i="6" s="1"/>
  <c r="D63" i="6"/>
  <c r="G62" i="6"/>
  <c r="H62" i="6" s="1"/>
  <c r="D62" i="6"/>
  <c r="G61" i="6"/>
  <c r="H61" i="6" s="1"/>
  <c r="D61" i="6"/>
  <c r="H60" i="6"/>
  <c r="G60" i="6"/>
  <c r="D60" i="6"/>
  <c r="H59" i="6"/>
  <c r="G59" i="6"/>
  <c r="D59" i="6"/>
  <c r="G58" i="6"/>
  <c r="H58" i="6" s="1"/>
  <c r="D58" i="6"/>
  <c r="H57" i="6"/>
  <c r="G57" i="6"/>
  <c r="D57" i="6"/>
  <c r="G56" i="6"/>
  <c r="H56" i="6" s="1"/>
  <c r="D56" i="6"/>
  <c r="G55" i="6"/>
  <c r="H55" i="6" s="1"/>
  <c r="D55" i="6"/>
  <c r="G54" i="6"/>
  <c r="H54" i="6" s="1"/>
  <c r="D54" i="6"/>
  <c r="H53" i="6"/>
  <c r="G53" i="6"/>
  <c r="D53" i="6"/>
  <c r="G52" i="6"/>
  <c r="H52" i="6" s="1"/>
  <c r="D52" i="6"/>
  <c r="G51" i="6"/>
  <c r="H51" i="6" s="1"/>
  <c r="D51" i="6"/>
  <c r="H50" i="6"/>
  <c r="G50" i="6"/>
  <c r="D50" i="6"/>
  <c r="H49" i="6"/>
  <c r="G49" i="6"/>
  <c r="D49" i="6"/>
  <c r="G48" i="6"/>
  <c r="H48" i="6" s="1"/>
  <c r="D48" i="6"/>
  <c r="G47" i="6"/>
  <c r="H47" i="6" s="1"/>
  <c r="D47" i="6"/>
  <c r="G46" i="6"/>
  <c r="H46" i="6" s="1"/>
  <c r="D46" i="6"/>
  <c r="G45" i="6"/>
  <c r="H45" i="6" s="1"/>
  <c r="D45" i="6"/>
  <c r="H44" i="6"/>
  <c r="G44" i="6"/>
  <c r="D44" i="6"/>
  <c r="H43" i="6"/>
  <c r="G43" i="6"/>
  <c r="D43" i="6"/>
  <c r="G42" i="6"/>
  <c r="H42" i="6" s="1"/>
  <c r="D42" i="6"/>
  <c r="H41" i="6"/>
  <c r="G41" i="6"/>
  <c r="D41" i="6"/>
  <c r="G40" i="6"/>
  <c r="H40" i="6" s="1"/>
  <c r="D40" i="6"/>
  <c r="G39" i="6"/>
  <c r="H39" i="6" s="1"/>
  <c r="D39" i="6"/>
  <c r="G38" i="6"/>
  <c r="H38" i="6" s="1"/>
  <c r="D38" i="6"/>
  <c r="H37" i="6"/>
  <c r="G37" i="6"/>
  <c r="D37" i="6"/>
  <c r="G36" i="6"/>
  <c r="H36" i="6" s="1"/>
  <c r="D36" i="6"/>
  <c r="G35" i="6"/>
  <c r="H35" i="6" s="1"/>
  <c r="D35" i="6"/>
  <c r="H34" i="6"/>
  <c r="G34" i="6"/>
  <c r="D34" i="6"/>
  <c r="H33" i="6"/>
  <c r="G33" i="6"/>
  <c r="D33" i="6"/>
  <c r="G32" i="6"/>
  <c r="H32" i="6" s="1"/>
  <c r="D32" i="6"/>
  <c r="G31" i="6"/>
  <c r="H31" i="6" s="1"/>
  <c r="D31" i="6"/>
  <c r="G30" i="6"/>
  <c r="H30" i="6" s="1"/>
  <c r="D30" i="6"/>
  <c r="G29" i="6"/>
  <c r="H29" i="6" s="1"/>
  <c r="D29" i="6"/>
  <c r="H28" i="6"/>
  <c r="G28" i="6"/>
  <c r="D28" i="6"/>
  <c r="H27" i="6"/>
  <c r="G27" i="6"/>
  <c r="D27" i="6"/>
  <c r="G26" i="6"/>
  <c r="H26" i="6" s="1"/>
  <c r="D26" i="6"/>
  <c r="H25" i="6"/>
  <c r="G25" i="6"/>
  <c r="D25" i="6"/>
  <c r="G24" i="6"/>
  <c r="H24" i="6" s="1"/>
  <c r="D24" i="6"/>
  <c r="G23" i="6"/>
  <c r="H23" i="6" s="1"/>
  <c r="D23" i="6"/>
  <c r="G22" i="6"/>
  <c r="H22" i="6" s="1"/>
  <c r="D22" i="6"/>
  <c r="H21" i="6"/>
  <c r="G21" i="6"/>
  <c r="D21" i="6"/>
  <c r="G20" i="6"/>
  <c r="H20" i="6" s="1"/>
  <c r="D20" i="6"/>
  <c r="G19" i="6"/>
  <c r="H19" i="6" s="1"/>
  <c r="D19" i="6"/>
  <c r="H18" i="6"/>
  <c r="G18" i="6"/>
  <c r="D18" i="6"/>
  <c r="H17" i="6"/>
  <c r="G17" i="6"/>
  <c r="D17" i="6"/>
  <c r="G16" i="6"/>
  <c r="H16" i="6" s="1"/>
  <c r="D16" i="6"/>
  <c r="G15" i="6"/>
  <c r="H15" i="6" s="1"/>
  <c r="D15" i="6"/>
  <c r="G14" i="6"/>
  <c r="H14" i="6" s="1"/>
  <c r="D14" i="6"/>
  <c r="G13" i="6"/>
  <c r="H13" i="6" s="1"/>
  <c r="D13" i="6"/>
  <c r="H12" i="6"/>
  <c r="G12" i="6"/>
  <c r="D12" i="6"/>
  <c r="H11" i="6"/>
  <c r="G11" i="6"/>
  <c r="D11" i="6"/>
  <c r="G10" i="6"/>
  <c r="H10" i="6" s="1"/>
  <c r="D10" i="6"/>
  <c r="H9" i="6"/>
  <c r="G9" i="6"/>
  <c r="D9" i="6"/>
  <c r="G8" i="6"/>
  <c r="H8" i="6" s="1"/>
  <c r="D8" i="6"/>
  <c r="G7" i="6"/>
  <c r="H7" i="6" s="1"/>
  <c r="D7" i="6"/>
  <c r="G6" i="6"/>
  <c r="H6" i="6" s="1"/>
  <c r="D6" i="6"/>
  <c r="H5" i="6"/>
  <c r="G5" i="6"/>
  <c r="D5" i="6"/>
  <c r="J27" i="4"/>
  <c r="K27" i="4" s="1"/>
  <c r="J26" i="4"/>
  <c r="K26" i="4" s="1"/>
  <c r="J25" i="4"/>
  <c r="K25" i="4" s="1"/>
  <c r="K24" i="4"/>
  <c r="J24" i="4"/>
  <c r="K23" i="4"/>
  <c r="J23" i="4"/>
  <c r="J22" i="4"/>
  <c r="K22" i="4" s="1"/>
  <c r="J21" i="4"/>
  <c r="K21" i="4" s="1"/>
  <c r="J20" i="4"/>
  <c r="K20" i="4" s="1"/>
  <c r="J19" i="4"/>
  <c r="K19" i="4" s="1"/>
  <c r="J18" i="4"/>
  <c r="K18" i="4" s="1"/>
  <c r="J17" i="4"/>
  <c r="K17" i="4" s="1"/>
  <c r="K16" i="4"/>
  <c r="J16" i="4"/>
  <c r="K15" i="4"/>
  <c r="J15" i="4"/>
  <c r="J14" i="4"/>
  <c r="K14" i="4" s="1"/>
  <c r="J13" i="4"/>
  <c r="K13" i="4" s="1"/>
  <c r="J12" i="4"/>
  <c r="K12" i="4" s="1"/>
  <c r="J11" i="4"/>
  <c r="K11" i="4" s="1"/>
  <c r="J10" i="4"/>
  <c r="K10" i="4" s="1"/>
  <c r="J9" i="4"/>
  <c r="K9" i="4" s="1"/>
  <c r="K8" i="4"/>
  <c r="J8" i="4"/>
  <c r="K7" i="4"/>
  <c r="J7" i="4"/>
  <c r="J6" i="4"/>
  <c r="K6" i="4" s="1"/>
  <c r="J5" i="4"/>
  <c r="K5" i="4" s="1"/>
  <c r="C24" i="2"/>
  <c r="C23" i="2"/>
  <c r="C22" i="2"/>
  <c r="C21" i="2"/>
  <c r="K9" i="2"/>
  <c r="H9" i="2"/>
  <c r="E9" i="2"/>
  <c r="B9" i="2"/>
  <c r="K5" i="2"/>
  <c r="H5" i="2"/>
  <c r="E5" i="2"/>
  <c r="B5" i="2"/>
  <c r="M16" i="7" l="1"/>
  <c r="N16" i="7" s="1"/>
  <c r="M9" i="7"/>
  <c r="N9" i="7" s="1"/>
  <c r="M19" i="7"/>
  <c r="N19" i="7" s="1"/>
  <c r="M12" i="7"/>
  <c r="M5" i="7"/>
  <c r="N5" i="7" s="1"/>
  <c r="M21" i="7"/>
  <c r="N21" i="7" s="1"/>
  <c r="M15" i="7"/>
  <c r="N15" i="7" s="1"/>
  <c r="G27" i="17"/>
  <c r="G31" i="17"/>
  <c r="G19" i="17"/>
  <c r="M17" i="7"/>
  <c r="N17" i="7" s="1"/>
  <c r="M20" i="7"/>
  <c r="N20" i="7" s="1"/>
  <c r="I6" i="17"/>
  <c r="M23" i="7"/>
  <c r="N23" i="7" s="1"/>
  <c r="G20" i="17"/>
  <c r="G16" i="17"/>
  <c r="I7" i="17" s="1"/>
  <c r="I5" i="17"/>
  <c r="I8" i="17" s="1"/>
  <c r="I9" i="17" s="1"/>
  <c r="I11" i="17" s="1"/>
</calcChain>
</file>

<file path=xl/sharedStrings.xml><?xml version="1.0" encoding="utf-8"?>
<sst xmlns="http://schemas.openxmlformats.org/spreadsheetml/2006/main" count="2661" uniqueCount="1562">
  <si>
    <t>00｜使用說明</t>
  </si>
  <si>
    <t>先完成產品與期初盤點，再開始輸入交易。黃色＝人工輸入；藍色＝公式／系統欄；紅色或『待確認』＝不可直接對外使用。</t>
  </si>
  <si>
    <t>這份工作簿的角色</t>
  </si>
  <si>
    <t>品牌作業系統</t>
  </si>
  <si>
    <t>把品牌定位、產品、庫存、訂單、客戶、服務、回訪、內容、故事、LINE與分潤放在同一個可追溯系統中。它不是會計軟體，也不取代正式法務、醫療或個資合規審查。</t>
  </si>
  <si>
    <t>版本：2026-08-09 初版｜[Codex]</t>
  </si>
  <si>
    <t>第一次使用：依序完成</t>
  </si>
  <si>
    <t>1. 關閉決策</t>
  </si>
  <si>
    <t>到 17_品牌決策，把母品牌、價格、產品名稱、宣稱界線等由老師核准。</t>
  </si>
  <si>
    <t>2. 確認產品</t>
  </si>
  <si>
    <t>在 03_產品主檔確認SKU、正式名稱、售價、成本與庫存管理；待確認資料不要報價。</t>
  </si>
  <si>
    <t>3. 現場盤點</t>
  </si>
  <si>
    <t>所有實體SKU在 05_庫存異動各輸入一筆『期初』，日期使用實際盤點日。</t>
  </si>
  <si>
    <t>4. 建立客戶ID</t>
  </si>
  <si>
    <t>新客先進 08_客戶CRM，再用同一客戶ID串接訂單、服務、回訪與故事。</t>
  </si>
  <si>
    <t>5. 每筆都落表</t>
  </si>
  <si>
    <t>銷售進 07_銷售訂單；實體數量另進 05_庫存異動。不要再往右新增日期欄。</t>
  </si>
  <si>
    <t>6. 每週驗證</t>
  </si>
  <si>
    <t>內容發佈後填 12_內容成效；LINE對話進 14_LINE漏斗；每週只放大可追溯的有效項。</t>
  </si>
  <si>
    <t>7. 故事先同意</t>
  </si>
  <si>
    <t>任何個案／見證先進 13_希望故事庫，保留原始證據、匿名處理與公開同意。</t>
  </si>
  <si>
    <t>日常操作節奏</t>
  </si>
  <si>
    <t>每天</t>
  </si>
  <si>
    <t>訂單、庫存異動、服務紀錄、LINE下一步在當日完成。</t>
  </si>
  <si>
    <t>每週</t>
  </si>
  <si>
    <t>30分鐘看一次：有效對話、LINE新增、預約、訂單、回訪逾期、低庫存。</t>
  </si>
  <si>
    <t>每月</t>
  </si>
  <si>
    <t>關閉上月數據、核對實物庫存、檢視毛利與分潤、淘汰無效內容。</t>
  </si>
  <si>
    <t>每季</t>
  </si>
  <si>
    <t>重看品牌決策、產品角色、客群與證據；不要只加內容而不修路徑。</t>
  </si>
  <si>
    <t>目前最重要的資料警示</t>
  </si>
  <si>
    <t>• 大小貴人價格在不同分頁互換，未核准前不可正式報價。</t>
  </si>
  <si>
    <t>• 諧和機手冊的健康效果用語已列入高風險；本版產品介紹只保留生活情境表述。</t>
  </si>
  <si>
    <t>01｜品牌儀表板</t>
  </si>
  <si>
    <t>開啟Excel後公式會依各工作表自動更新。初版沒有假造業績；數字為0代表尚未輸入，而不是表現不佳。</t>
  </si>
  <si>
    <t>90天任務完成率</t>
  </si>
  <si>
    <t>待確認資料</t>
  </si>
  <si>
    <t>低庫存／負庫存</t>
  </si>
  <si>
    <t>逾期回訪</t>
  </si>
  <si>
    <t>有效LINE對話</t>
  </si>
  <si>
    <t>已預約</t>
  </si>
  <si>
    <t>已成交／回購</t>
  </si>
  <si>
    <t>累積實收</t>
  </si>
  <si>
    <t>雙軌顧客旅程：每個入口都回到同一份CRM與回訪系統</t>
  </si>
  <si>
    <t>專業路徑</t>
  </si>
  <si>
    <t>生活路徑</t>
  </si>
  <si>
    <t>生活痛點內容</t>
  </si>
  <si>
    <t>加入LINE</t>
  </si>
  <si>
    <t>腦意識觀察</t>
  </si>
  <si>
    <t>深度諮詢</t>
  </si>
  <si>
    <t>課程／工具</t>
  </si>
  <si>
    <t>回訪與故事</t>
  </si>
  <si>
    <t>Moment故事／儀式</t>
  </si>
  <si>
    <t>情境選擇</t>
  </si>
  <si>
    <t>蠟燭／首購組</t>
  </si>
  <si>
    <t>七日回訪</t>
  </si>
  <si>
    <t>檢測／回購／分享</t>
  </si>
  <si>
    <t>本週決策提醒</t>
  </si>
  <si>
    <t>產品</t>
  </si>
  <si>
    <t>尚未核准的產品內容</t>
  </si>
  <si>
    <t>故事</t>
  </si>
  <si>
    <t>等待核准的故事</t>
  </si>
  <si>
    <t>內容</t>
  </si>
  <si>
    <t>等待核准的內容</t>
  </si>
  <si>
    <t>漏斗</t>
  </si>
  <si>
    <t>今天需跟進的名單</t>
  </si>
  <si>
    <t>02｜90天路徑</t>
  </si>
  <si>
    <t>三階段不是日曆裝飾：每一列都有交付物、驗收標準、依賴與責任。目標日期由啟動日排定。</t>
  </si>
  <si>
    <t>階段</t>
  </si>
  <si>
    <t>週次</t>
  </si>
  <si>
    <t>日程</t>
  </si>
  <si>
    <t>主題</t>
  </si>
  <si>
    <t>任務</t>
  </si>
  <si>
    <t>交付物</t>
  </si>
  <si>
    <t>KPI／驗收標準</t>
  </si>
  <si>
    <t>老師投入</t>
  </si>
  <si>
    <t>品牌規劃者產出</t>
  </si>
  <si>
    <t>負責</t>
  </si>
  <si>
    <t>依賴</t>
  </si>
  <si>
    <t>狀態</t>
  </si>
  <si>
    <t>目標日期</t>
  </si>
  <si>
    <t>證據／連結</t>
  </si>
  <si>
    <t>第1階段｜梳理</t>
  </si>
  <si>
    <t>W1</t>
  </si>
  <si>
    <t>Day 1</t>
  </si>
  <si>
    <t>啟動與界線</t>
  </si>
  <si>
    <t>確認90天合作目標、決策權與每週會議</t>
  </si>
  <si>
    <t>合作共識單</t>
  </si>
  <si>
    <t>老師與規劃者各自責任、核准時限與交付範圍有文字紀錄</t>
  </si>
  <si>
    <t>選出最優先的商業問題</t>
  </si>
  <si>
    <t>整理會議與決策表</t>
  </si>
  <si>
    <t>共同</t>
  </si>
  <si>
    <t>無</t>
  </si>
  <si>
    <t>未開始</t>
  </si>
  <si>
    <t>Day 1-2</t>
  </si>
  <si>
    <t>資料治理</t>
  </si>
  <si>
    <t>建立單一檔案版本、產品SKU與資料來源清單</t>
  </si>
  <si>
    <t>來源稽核表</t>
  </si>
  <si>
    <t>14份來源均標記採用／隔離／待確認</t>
  </si>
  <si>
    <t>確認舊資料是否屬於希望之光</t>
  </si>
  <si>
    <t>建立資料核對與版本規則</t>
  </si>
  <si>
    <t>規劃者</t>
  </si>
  <si>
    <t>啟動會議</t>
  </si>
  <si>
    <t>Day 2-4</t>
  </si>
  <si>
    <t>品牌訪談</t>
  </si>
  <si>
    <t>完成創辦人、品牌起點、最想幫助誰與成功畫面訪談</t>
  </si>
  <si>
    <t>品牌訪談逐字重點</t>
  </si>
  <si>
    <t>至少完成核心訪談問題並取得老師核准</t>
  </si>
  <si>
    <t>提供真實故事與原始說法</t>
  </si>
  <si>
    <t>提問、翻譯、整理</t>
  </si>
  <si>
    <t>Day 3-5</t>
  </si>
  <si>
    <t>現況基準</t>
  </si>
  <si>
    <t>建立IG、LINE、訊息、銷售、庫存基準值</t>
  </si>
  <si>
    <t>Baseline表</t>
  </si>
  <si>
    <t>可追蹤37支影片、800則訊息、現有銷售與庫存；無資料者標缺口</t>
  </si>
  <si>
    <t>提供平台後台與現況數字</t>
  </si>
  <si>
    <t>定義指標與欄位</t>
  </si>
  <si>
    <t>資料權限</t>
  </si>
  <si>
    <t>Day 5-7</t>
  </si>
  <si>
    <t>品牌決策</t>
  </si>
  <si>
    <t>確認母品牌、老師個人信任角色、品牌承諾與用語界線</t>
  </si>
  <si>
    <t>一頁品牌定位</t>
  </si>
  <si>
    <t>一句品牌承諾、三個不說、三個一定說完成核准</t>
  </si>
  <si>
    <t>做最後價值選擇</t>
  </si>
  <si>
    <t>提供建議版本</t>
  </si>
  <si>
    <t>老師核准</t>
  </si>
  <si>
    <t>W2</t>
  </si>
  <si>
    <t>Day 8-10</t>
  </si>
  <si>
    <t>產品系統</t>
  </si>
  <si>
    <t>逐項確認正式名稱、售價、成本、規格、對象與商業角色</t>
  </si>
  <si>
    <t>產品主檔v1</t>
  </si>
  <si>
    <t>所有在售品有SKU；價格矛盾全部關閉或保留待確認</t>
  </si>
  <si>
    <t>確認產品事實與價格</t>
  </si>
  <si>
    <t>整理主檔與毛利</t>
  </si>
  <si>
    <t>來源稽核</t>
  </si>
  <si>
    <t>Day 9-11</t>
  </si>
  <si>
    <t>產品故事</t>
  </si>
  <si>
    <t>訪談蠟燭、大小貴人、諧和機的起點與可見流程</t>
  </si>
  <si>
    <t>產品故事卡</t>
  </si>
  <si>
    <t>優先3類產品各至少1張核准故事卡</t>
  </si>
  <si>
    <t>示範製作／淨化／使用流程</t>
  </si>
  <si>
    <t>改寫生活語言</t>
  </si>
  <si>
    <t>產品主檔</t>
  </si>
  <si>
    <t>Day 10-12</t>
  </si>
  <si>
    <t>客群分層</t>
  </si>
  <si>
    <t>以需求與行為建立3-5個可行客群，不做人格貼標</t>
  </si>
  <si>
    <t>客群與情境表</t>
  </si>
  <si>
    <t>每群有入口問題、適合內容、下一步與不適合事項</t>
  </si>
  <si>
    <t>確認真實常見客群</t>
  </si>
  <si>
    <t>以資料整理而非猜測</t>
  </si>
  <si>
    <t>品牌定位</t>
  </si>
  <si>
    <t>Day 11-14</t>
  </si>
  <si>
    <t>顧客旅程</t>
  </si>
  <si>
    <t>定稿陌生客專業路徑與生活型產品路徑</t>
  </si>
  <si>
    <t>雙軌Customer Journey</t>
  </si>
  <si>
    <t>每一步有入口、CTA、承接人、資料欄位與成功條件</t>
  </si>
  <si>
    <t>確認實際成交方式</t>
  </si>
  <si>
    <t>畫流程並找斷點</t>
  </si>
  <si>
    <t>產品排序</t>
  </si>
  <si>
    <t>Day 12-14</t>
  </si>
  <si>
    <t>品牌門面</t>
  </si>
  <si>
    <t>重寫主帳號與Moment帳號Bio、連結與精選動態架構</t>
  </si>
  <si>
    <t>帳號定位包</t>
  </si>
  <si>
    <t>訪客3秒內看懂我是誰、能得到什麼、下一步</t>
  </si>
  <si>
    <t>核准文字與帳號分工</t>
  </si>
  <si>
    <t>提出版本與上線清單</t>
  </si>
  <si>
    <t>W3</t>
  </si>
  <si>
    <t>Day 15-17</t>
  </si>
  <si>
    <t>CRM設計</t>
  </si>
  <si>
    <t>確認客戶欄位、痛點分類、事財情家體、同意與回訪規則</t>
  </si>
  <si>
    <t>CRM欄位字典</t>
  </si>
  <si>
    <t>所有欄位有用途；敏感資料最小化；同意狀態可追蹤</t>
  </si>
  <si>
    <t>確認現有記錄方式</t>
  </si>
  <si>
    <t>設計表格與資料規則</t>
  </si>
  <si>
    <t>Day 16-20</t>
  </si>
  <si>
    <t>名單試轉</t>
  </si>
  <si>
    <t>先用30-50份手寫個案做OCR與人工校正試點</t>
  </si>
  <si>
    <t>試轉批次與錯誤率</t>
  </si>
  <si>
    <t>抽查準確度達可接受標準；原圖與轉錄可回溯</t>
  </si>
  <si>
    <t>提供清楚掃描與同意界線</t>
  </si>
  <si>
    <t>建立批次流程</t>
  </si>
  <si>
    <t>CRM欄位</t>
  </si>
  <si>
    <t>Day 18-21</t>
  </si>
  <si>
    <t>故事證據</t>
  </si>
  <si>
    <t>建立故事同意、匿名、風險審查與核准流程</t>
  </si>
  <si>
    <t>希望故事庫v1</t>
  </si>
  <si>
    <t>每則故事都有來源、同意、主觀語氣與可發布狀態</t>
  </si>
  <si>
    <t>確認可用故事與授權</t>
  </si>
  <si>
    <t>去識別與改寫</t>
  </si>
  <si>
    <t>Day 19-21</t>
  </si>
  <si>
    <t>訊息盤點</t>
  </si>
  <si>
    <t>將待處理訊息分為檢測、蠟燭、課程、設備、售後、其他</t>
  </si>
  <si>
    <t>訊息分流表</t>
  </si>
  <si>
    <t>所有訊息有類別、優先度、下一步與負責人</t>
  </si>
  <si>
    <t>開放必要資料與實際回覆</t>
  </si>
  <si>
    <t>設計分流與SLA</t>
  </si>
  <si>
    <t>LINE權限</t>
  </si>
  <si>
    <t>W4</t>
  </si>
  <si>
    <t>Day 22-24</t>
  </si>
  <si>
    <t>LINE流程</t>
  </si>
  <si>
    <t>建立關鍵字、標籤、第一回覆、資格提問與CTA</t>
  </si>
  <si>
    <t>LINE SOP v1</t>
  </si>
  <si>
    <t>優先5種情境可由任何人依同一規則回覆</t>
  </si>
  <si>
    <t>核准語氣與例外處理</t>
  </si>
  <si>
    <t>撰寫模板</t>
  </si>
  <si>
    <t>Day 22-26</t>
  </si>
  <si>
    <t>內容系統</t>
  </si>
  <si>
    <t>建立40個任務化主題與拍攝清單</t>
  </si>
  <si>
    <t>內容主題庫v1</t>
  </si>
  <si>
    <t>主題符合35%故事／25%FAQ／20%知識／10%幕後／10%見證</t>
  </si>
  <si>
    <t>提供案例與可拍素材</t>
  </si>
  <si>
    <t>設計Hook、CTA與追蹤碼</t>
  </si>
  <si>
    <t>故事庫</t>
  </si>
  <si>
    <t>Day 25-28</t>
  </si>
  <si>
    <t>庫存與訂單</t>
  </si>
  <si>
    <t>完成期初盤點、銷售單與庫存異動操作演練</t>
  </si>
  <si>
    <t>期初盤點表</t>
  </si>
  <si>
    <t>所有實體SKU有一筆核准期初數；無#REF!</t>
  </si>
  <si>
    <t>實物盤點與核准</t>
  </si>
  <si>
    <t>操作教學與抽查</t>
  </si>
  <si>
    <t>Day 29-30</t>
  </si>
  <si>
    <t>階段評審</t>
  </si>
  <si>
    <t>關閉第一階段決策並選定第二階段實驗</t>
  </si>
  <si>
    <t>Phase 1決策紀錄</t>
  </si>
  <si>
    <t>只選2個內容假設、1個舊客回流、1個產品組合進行驗證</t>
  </si>
  <si>
    <t>做取捨與核准</t>
  </si>
  <si>
    <t>提出證據與建議</t>
  </si>
  <si>
    <t>全部Phase 1</t>
  </si>
  <si>
    <t>第2階段｜驗證</t>
  </si>
  <si>
    <t>W5</t>
  </si>
  <si>
    <t>Day 31-35</t>
  </si>
  <si>
    <t>上線準備</t>
  </si>
  <si>
    <t>上線Bio、連結、LINE關鍵字與追蹤欄位</t>
  </si>
  <si>
    <t>可追蹤的入口</t>
  </si>
  <si>
    <t>每個入口能辨識來源內容與下一步</t>
  </si>
  <si>
    <t>核准並配合回覆</t>
  </si>
  <si>
    <t>設定與測試</t>
  </si>
  <si>
    <t>Phase 1評審</t>
  </si>
  <si>
    <t>Day 33-37</t>
  </si>
  <si>
    <t>內容實驗A</t>
  </si>
  <si>
    <t>發布故事型與生活痛點型內容各1-2支</t>
  </si>
  <si>
    <t>第一輪內容</t>
  </si>
  <si>
    <t>每支只有一個CTA；24/72小時數據完整</t>
  </si>
  <si>
    <t>出鏡或提供素材</t>
  </si>
  <si>
    <t>腳本、拍攝、上架與記錄</t>
  </si>
  <si>
    <t>內容庫</t>
  </si>
  <si>
    <t>Day 35-38</t>
  </si>
  <si>
    <t>承接測試</t>
  </si>
  <si>
    <t>實測留言／私訊到LINE再到預約或購買</t>
  </si>
  <si>
    <t>漏斗測試紀錄</t>
  </si>
  <si>
    <t>回覆時間、LINE新增、預約、訂單均可對回內容ID</t>
  </si>
  <si>
    <t>依SOP回覆</t>
  </si>
  <si>
    <t>觀察斷點</t>
  </si>
  <si>
    <t>LINE上線</t>
  </si>
  <si>
    <t>W6</t>
  </si>
  <si>
    <t>Day 38-42</t>
  </si>
  <si>
    <t>舊客回流A</t>
  </si>
  <si>
    <t>選30-50位有明確歷程且可聯絡的舊客做關懷</t>
  </si>
  <si>
    <t>回流批次A</t>
  </si>
  <si>
    <t>不是群發促銷；完成聯絡、回覆、預約／購買與拒絕紀錄</t>
  </si>
  <si>
    <t>確認名單與親自關懷</t>
  </si>
  <si>
    <t>分眾與追蹤</t>
  </si>
  <si>
    <t>CRM試轉</t>
  </si>
  <si>
    <t>Day 40-44</t>
  </si>
  <si>
    <t>產品實驗</t>
  </si>
  <si>
    <t>測試一個低風險組合：蠟燭／首購組＋使用引導</t>
  </si>
  <si>
    <t>產品實驗A</t>
  </si>
  <si>
    <t>價格、成本、庫存、售後、七日回訪都能落表</t>
  </si>
  <si>
    <t>核准方案與供貨</t>
  </si>
  <si>
    <t>文案、流程、數據</t>
  </si>
  <si>
    <t>期初盤點</t>
  </si>
  <si>
    <t>Day 43-45</t>
  </si>
  <si>
    <t>故事回收</t>
  </si>
  <si>
    <t>完成第一批七日回訪與故事同意邀請</t>
  </si>
  <si>
    <t>真實回饋素材</t>
  </si>
  <si>
    <t>至少取得可內部使用回饋；發布須另有同意</t>
  </si>
  <si>
    <t>回覆個案與核准</t>
  </si>
  <si>
    <t>整理與去識別</t>
  </si>
  <si>
    <t>W7</t>
  </si>
  <si>
    <t>Day 46-49</t>
  </si>
  <si>
    <t>週數據評審</t>
  </si>
  <si>
    <t>比較內容A/B、來源轉換與回覆品質</t>
  </si>
  <si>
    <t>週報1</t>
  </si>
  <si>
    <t>以LINE新增、有效對話、預約、訂單判斷，不只看觀看</t>
  </si>
  <si>
    <t>參與30分鐘決策</t>
  </si>
  <si>
    <t>整理數據與建議</t>
  </si>
  <si>
    <t>兩週數據</t>
  </si>
  <si>
    <t>Day 47-52</t>
  </si>
  <si>
    <t>內容實驗B</t>
  </si>
  <si>
    <t>依第一輪結果調整Hook、封面、故事結構或CTA</t>
  </si>
  <si>
    <t>第二輪內容</t>
  </si>
  <si>
    <t>一次只改一個主要變因，可說明為何保留／淘汰</t>
  </si>
  <si>
    <t>提供新素材</t>
  </si>
  <si>
    <t>迭代與記錄</t>
  </si>
  <si>
    <t>W8</t>
  </si>
  <si>
    <t>Day 53-56</t>
  </si>
  <si>
    <t>舊客回流B</t>
  </si>
  <si>
    <t>針對第一批有回應客群調整第二輪關懷</t>
  </si>
  <si>
    <t>回流批次B</t>
  </si>
  <si>
    <t>比較兩批回覆率、預約率、回購率與拒絕原因</t>
  </si>
  <si>
    <t>核准分眾</t>
  </si>
  <si>
    <t>調整訊息與節奏</t>
  </si>
  <si>
    <t>回流A</t>
  </si>
  <si>
    <t>Day 55-58</t>
  </si>
  <si>
    <t>服務銜接</t>
  </si>
  <si>
    <t>檢查檢測→諮詢→課程／產品的推薦是否自然且有紀錄</t>
  </si>
  <si>
    <t>服務銜接檢查</t>
  </si>
  <si>
    <t>每次推薦有原因、客戶同意與後續追蹤，無硬推</t>
  </si>
  <si>
    <t>依標準做服務</t>
  </si>
  <si>
    <t>抽查紀錄</t>
  </si>
  <si>
    <t>服務紀錄</t>
  </si>
  <si>
    <t>Day 59-60</t>
  </si>
  <si>
    <t>選出有效內容、入口、客群與產品假設</t>
  </si>
  <si>
    <t>Phase 2決策紀錄</t>
  </si>
  <si>
    <t>明確停止無效做法，選1-2個項目進入放大</t>
  </si>
  <si>
    <t>提供比較證據</t>
  </si>
  <si>
    <t>全部Phase 2</t>
  </si>
  <si>
    <t>第3階段｜放大</t>
  </si>
  <si>
    <t>W9</t>
  </si>
  <si>
    <t>Day 61-65</t>
  </si>
  <si>
    <t>內容SOP</t>
  </si>
  <si>
    <t>固定企劃、採訪、拍攝、核准、發布、回收數據流程</t>
  </si>
  <si>
    <t>角色、期限、命名、版本與核准點完整</t>
  </si>
  <si>
    <t>確認可投入時間</t>
  </si>
  <si>
    <t>文件化與演練</t>
  </si>
  <si>
    <t>有效內容</t>
  </si>
  <si>
    <t>Day 63-67</t>
  </si>
  <si>
    <t>客服SOP</t>
  </si>
  <si>
    <t>固定留言、私訊、LINE、異議、售後與風險轉介流程</t>
  </si>
  <si>
    <t>常見情境有標準回覆，例外可升級給老師</t>
  </si>
  <si>
    <t>核准語氣與界線</t>
  </si>
  <si>
    <t>LINE數據</t>
  </si>
  <si>
    <t>W10</t>
  </si>
  <si>
    <t>Day 68-72</t>
  </si>
  <si>
    <t>訂單庫存SOP</t>
  </si>
  <si>
    <t>固定下單、收款、出貨、退換、盤點與對帳流程</t>
  </si>
  <si>
    <t>營運SOP</t>
  </si>
  <si>
    <t>任一訂單能對回客戶、SKU、付款、庫存與毛利</t>
  </si>
  <si>
    <t>確認實際物流</t>
  </si>
  <si>
    <t>文件化與抽查</t>
  </si>
  <si>
    <t>Day 70-74</t>
  </si>
  <si>
    <t>價格分潤</t>
  </si>
  <si>
    <t>用實際成本與數據確認促銷底價、獎金與新產品分潤</t>
  </si>
  <si>
    <t>分潤試算與書面共識</t>
  </si>
  <si>
    <t>不以未確認的50%／60%成本比例結算</t>
  </si>
  <si>
    <t>提供真實成本與商業決策</t>
  </si>
  <si>
    <t>建立試算情境</t>
  </si>
  <si>
    <t>成本確認</t>
  </si>
  <si>
    <t>W11</t>
  </si>
  <si>
    <t>Day 75-79</t>
  </si>
  <si>
    <t>高回購分析</t>
  </si>
  <si>
    <t>依客群、產品、來源與週期分析回購與轉換</t>
  </si>
  <si>
    <t>分眾分析</t>
  </si>
  <si>
    <t>至少辨識1個值得加碼與1個應停止的組合</t>
  </si>
  <si>
    <t>解釋質性原因</t>
  </si>
  <si>
    <t>量化與建議</t>
  </si>
  <si>
    <t>至少4週交易</t>
  </si>
  <si>
    <t>Day 77-81</t>
  </si>
  <si>
    <t>故事飛輪</t>
  </si>
  <si>
    <t>把核准故事轉回內容，並連回產品與後續回訪</t>
  </si>
  <si>
    <t>故事發布流程</t>
  </si>
  <si>
    <t>故事可追溯來源、同意與帶來的有效對話</t>
  </si>
  <si>
    <t>核准故事</t>
  </si>
  <si>
    <t>製作與追蹤</t>
  </si>
  <si>
    <t>W12</t>
  </si>
  <si>
    <t>Day 82-85</t>
  </si>
  <si>
    <t>放大有效項</t>
  </si>
  <si>
    <t>增加有效內容或回流節奏，不擴大未驗證項目</t>
  </si>
  <si>
    <t>放大週計畫</t>
  </si>
  <si>
    <t>工作量增加但回覆品質、庫存與服務能力不下降</t>
  </si>
  <si>
    <t>確認承接容量</t>
  </si>
  <si>
    <t>排程與監控</t>
  </si>
  <si>
    <t>Phase 2決策</t>
  </si>
  <si>
    <t>Day 84-87</t>
  </si>
  <si>
    <t>儀表板</t>
  </si>
  <si>
    <t>固定每週與每月檢視商業、內容、CRM、庫存指標</t>
  </si>
  <si>
    <t>營運儀表板</t>
  </si>
  <si>
    <t>每個數字有來源、負責人與行動門檻</t>
  </si>
  <si>
    <t>參與決策</t>
  </si>
  <si>
    <t>維護與教學</t>
  </si>
  <si>
    <t>資料完整</t>
  </si>
  <si>
    <t>W13</t>
  </si>
  <si>
    <t>Day 88-89</t>
  </si>
  <si>
    <t>交接演練</t>
  </si>
  <si>
    <t>由老師／團隊自行完成一次內容、客服、訂單與回訪循環</t>
  </si>
  <si>
    <t>交接測試</t>
  </si>
  <si>
    <t>規劃者只觀察，團隊可依SOP完成並修正</t>
  </si>
  <si>
    <t>實際操作</t>
  </si>
  <si>
    <t>觀察與補洞</t>
  </si>
  <si>
    <t>全部SOP</t>
  </si>
  <si>
    <t>Day 90</t>
  </si>
  <si>
    <t>總評與續程</t>
  </si>
  <si>
    <t>比較基準值、完成交付、決定91-180天策略</t>
  </si>
  <si>
    <t>90天總結＋下一季路線</t>
  </si>
  <si>
    <t>分清已驗證、未驗證、停止、下一步；不把營收保證當交付</t>
  </si>
  <si>
    <t>核准下一季優先級</t>
  </si>
  <si>
    <t>整理證據與建議</t>
  </si>
  <si>
    <t>03｜產品主檔</t>
  </si>
  <si>
    <t>唯一正式產品來源。價格、成本與名稱未核准時保持『待確認』；對外報價只取老師核准列。</t>
  </si>
  <si>
    <t>SKU</t>
  </si>
  <si>
    <t>產品類別</t>
  </si>
  <si>
    <t>正式名稱</t>
  </si>
  <si>
    <t>別名</t>
  </si>
  <si>
    <t>商業角色</t>
  </si>
  <si>
    <t>銷售狀態</t>
  </si>
  <si>
    <t>建議售價</t>
  </si>
  <si>
    <t>批發價</t>
  </si>
  <si>
    <t>單位成本</t>
  </si>
  <si>
    <t>單件毛利</t>
  </si>
  <si>
    <t>毛利率</t>
  </si>
  <si>
    <t>單位</t>
  </si>
  <si>
    <t>庫存管理</t>
  </si>
  <si>
    <t>補貨點</t>
  </si>
  <si>
    <t>來源依據</t>
  </si>
  <si>
    <t>內容核准</t>
  </si>
  <si>
    <t>備註</t>
  </si>
  <si>
    <t>HL-DV-BEN-09</t>
  </si>
  <si>
    <t>調頻工具</t>
  </si>
  <si>
    <t>大貴人－9個頻道</t>
  </si>
  <si>
    <t>大貴人9</t>
  </si>
  <si>
    <t>建立信任／延續陪伴</t>
  </si>
  <si>
    <t>待確認</t>
  </si>
  <si>
    <t>台</t>
  </si>
  <si>
    <t>是</t>
  </si>
  <si>
    <t>202608價格列表；出貨頁另列24,900，須確認</t>
  </si>
  <si>
    <t>待老師核准</t>
  </si>
  <si>
    <t>來源筆記提及水晶線圈；正式規格、頻道內容與名稱待確認</t>
  </si>
  <si>
    <t>HL-DV-SML-09</t>
  </si>
  <si>
    <t>小貴人－9個頻道</t>
  </si>
  <si>
    <t>小貴人9</t>
  </si>
  <si>
    <t>202608價格列表；出貨頁另列16,800，須確認</t>
  </si>
  <si>
    <t>大小貴人價格疑似在不同工作表互換</t>
  </si>
  <si>
    <t>HL-DV-BEN-07</t>
  </si>
  <si>
    <t>大貴人－7個頻道</t>
  </si>
  <si>
    <t>大貴人7</t>
  </si>
  <si>
    <t>202608價格列表</t>
  </si>
  <si>
    <t>與9頻道版本的差異、適用情境待補</t>
  </si>
  <si>
    <t>HL-DV-CORE</t>
  </si>
  <si>
    <t>靈核</t>
  </si>
  <si>
    <t>延續陪伴</t>
  </si>
  <si>
    <t>個</t>
  </si>
  <si>
    <t>待建立</t>
  </si>
  <si>
    <t>產品故事、規格、使用方式均待補</t>
  </si>
  <si>
    <t>HL-DV-NECK</t>
  </si>
  <si>
    <t>項鍊</t>
  </si>
  <si>
    <t>來源表重複出現3列，先合併為單一SKU</t>
  </si>
  <si>
    <t>HL-DV-FIELD</t>
  </si>
  <si>
    <t>設備</t>
  </si>
  <si>
    <t>磁場頻率檢測機</t>
  </si>
  <si>
    <t>建立信任</t>
  </si>
  <si>
    <t>檢測範圍、輸出報告與服務邊界待確認</t>
  </si>
  <si>
    <t>HL-DV-PET</t>
  </si>
  <si>
    <t>寵物專用調頻</t>
  </si>
  <si>
    <t>不可使用醫療或治療性宣稱；規格待確認</t>
  </si>
  <si>
    <t>HL-DV-HARMONY</t>
  </si>
  <si>
    <t>諧和腦波訓練機</t>
  </si>
  <si>
    <t>諧和共振</t>
  </si>
  <si>
    <t>使用手冊；簡易版交易欄位</t>
  </si>
  <si>
    <t>待安全改寫</t>
  </si>
  <si>
    <t>手冊列15個聲音頻道；售價、成本、型號與保固待確認</t>
  </si>
  <si>
    <t>HL-CD-01</t>
  </si>
  <si>
    <t>頻率蠟燭</t>
  </si>
  <si>
    <t>1號 防護除穢</t>
  </si>
  <si>
    <t>防詐騙除穢</t>
  </si>
  <si>
    <t>生活入口／延續陪伴</t>
  </si>
  <si>
    <t>銷售中</t>
  </si>
  <si>
    <t>顆</t>
  </si>
  <si>
    <t>正式名稱在來源間不一致</t>
  </si>
  <si>
    <t>HL-CD-02</t>
  </si>
  <si>
    <t>2號 財富豐盛</t>
  </si>
  <si>
    <t>HL-CD-03</t>
  </si>
  <si>
    <t>3號 吸引顧客</t>
  </si>
  <si>
    <t>HL-CD-04</t>
  </si>
  <si>
    <t>4號 吸引桃花</t>
  </si>
  <si>
    <t>HL-CD-05</t>
  </si>
  <si>
    <t>5號 貴人常臨</t>
  </si>
  <si>
    <t>HL-CD-06</t>
  </si>
  <si>
    <t>6號 學業進步</t>
  </si>
  <si>
    <t>文案避免保證成績或專注力改善</t>
  </si>
  <si>
    <t>HL-CD-07</t>
  </si>
  <si>
    <t>7號 小人退散</t>
  </si>
  <si>
    <t>對外文案建議改以界線與環境整理描述</t>
  </si>
  <si>
    <t>HL-CD-08</t>
  </si>
  <si>
    <t>8號 好運爆棚</t>
  </si>
  <si>
    <t>避免保證運勢結果</t>
  </si>
  <si>
    <t>HL-CD-09</t>
  </si>
  <si>
    <t>9號 感情升溫</t>
  </si>
  <si>
    <t>避免保證關係結果</t>
  </si>
  <si>
    <t>HL-CD-10</t>
  </si>
  <si>
    <t>10號 舒壓好眠</t>
  </si>
  <si>
    <t>舒眠</t>
  </si>
  <si>
    <t>避免宣稱治療失眠或焦慮</t>
  </si>
  <si>
    <t>HL-BD-21</t>
  </si>
  <si>
    <t>組合方案</t>
  </si>
  <si>
    <t>21顆蠟燭＋10分鐘諮詢首購組</t>
  </si>
  <si>
    <t>21顆套組</t>
  </si>
  <si>
    <t>生活入口／轉換</t>
  </si>
  <si>
    <t>試賣</t>
  </si>
  <si>
    <t>組</t>
  </si>
  <si>
    <t>202608價格列表；對談文件</t>
  </si>
  <si>
    <t>成本1,615高於21顆×65，需確認是否含運費、包材或諮詢成本</t>
  </si>
  <si>
    <t>HL-SV-EEG90</t>
  </si>
  <si>
    <t>服務</t>
  </si>
  <si>
    <t>腦意識觀察／檢測 90分鐘</t>
  </si>
  <si>
    <t>腦波檢測</t>
  </si>
  <si>
    <t>專業入口</t>
  </si>
  <si>
    <t>次</t>
  </si>
  <si>
    <t>否</t>
  </si>
  <si>
    <t>對外統一稱呼需確認；避免醫療診斷暗示</t>
  </si>
  <si>
    <t>HL-SV-CONS60</t>
  </si>
  <si>
    <t>創賦密碼／靈魂藍圖／掌運卡諮詢 60分鐘</t>
  </si>
  <si>
    <t>[User] 2026-08-09確認正式售價1,980；出貨頁1,680不採用</t>
  </si>
  <si>
    <t>正式售價為1,980；1,680為舊表錯誤／不採用。三種工具與服務範圍仍待確認</t>
  </si>
  <si>
    <t>HL-CR-CF2D</t>
  </si>
  <si>
    <t>課程</t>
  </si>
  <si>
    <t>創賦密碼 2天課程</t>
  </si>
  <si>
    <t>天賦密碼2天</t>
  </si>
  <si>
    <t>核心服務</t>
  </si>
  <si>
    <t>人</t>
  </si>
  <si>
    <t>來源同時出現「創賦」與「天賦」，正式名稱待確認</t>
  </si>
  <si>
    <t>HL-CR-SB3D</t>
  </si>
  <si>
    <t>創賦密碼＋靈魂藍圖 3天課程</t>
  </si>
  <si>
    <t>天賦密碼3天</t>
  </si>
  <si>
    <t>課綱、開課頻率、名額與成本待補</t>
  </si>
  <si>
    <t>04｜產品介紹</t>
  </si>
  <si>
    <t>內容規劃用，不是已核准商品頁。先核對事實、機制、規格與風險，再翻譯英文／日文。</t>
  </si>
  <si>
    <t>對外名稱</t>
  </si>
  <si>
    <t>客戶得到什麼</t>
  </si>
  <si>
    <t>使用情境</t>
  </si>
  <si>
    <t>獨特機制／事實邊界</t>
  </si>
  <si>
    <t>安全版一句話</t>
  </si>
  <si>
    <t>CTA</t>
  </si>
  <si>
    <t>仍需的證據</t>
  </si>
  <si>
    <t>規格候選</t>
  </si>
  <si>
    <t>宣稱風險</t>
  </si>
  <si>
    <t>審核狀態</t>
  </si>
  <si>
    <t>在需要整理狀態與行動節奏時，提供一個固定的陪伴工具。</t>
  </si>
  <si>
    <t>會談前、工作轉換、安靜整理思緒的時刻</t>
  </si>
  <si>
    <t>來源筆記提及水晶線圈與頻道設計；必須由老師說明可被驗證的製作與使用流程。</t>
  </si>
  <si>
    <t>把它當作一個停下來、整理當下意圖的提醒。</t>
  </si>
  <si>
    <t>加入 LINE 預約產品適配說明</t>
  </si>
  <si>
    <t>9個頻道名稱、使用方式、充電／保固、老師示範、真實回饋</t>
  </si>
  <si>
    <t>來源規格：80×80×29mm、玫瑰金、Type-C 5V=1A；型號與重量待確認</t>
  </si>
  <si>
    <t>高</t>
  </si>
  <si>
    <t>把短暫的停頓變成日常可重複的節奏提醒。</t>
  </si>
  <si>
    <t>會議前、專注前、休息前的個人儀式</t>
  </si>
  <si>
    <t>來源筆記提及369、528、7.83等設定，但頻道邏輯與用語須由老師完整核對。</t>
  </si>
  <si>
    <t>選一個此刻需要的節奏，留幾分鐘回到自己的呼吸與注意力。</t>
  </si>
  <si>
    <t>加入 LINE 了解9個頻道</t>
  </si>
  <si>
    <t>完整頻道表、適用情境、禁忌、價格差異、使用者主觀回饋</t>
  </si>
  <si>
    <t>來源規格：型號MB-AC01、80×80×29mm、105g、玫瑰金、Type-C 5V=1A</t>
  </si>
  <si>
    <t>以較精簡的頻道組合作為日常狀態整理工具。</t>
  </si>
  <si>
    <t>待老師確認</t>
  </si>
  <si>
    <t>7頻與9頻的產品差異尚未有來源說明。</t>
  </si>
  <si>
    <t>先了解你的使用情境，再選擇適合的版本。</t>
  </si>
  <si>
    <t>加入 LINE 進行產品適配</t>
  </si>
  <si>
    <t>7個頻道表、差異表、示範與保固</t>
  </si>
  <si>
    <t>規格待確認</t>
  </si>
  <si>
    <t>待補資料</t>
  </si>
  <si>
    <t>產品定位尚未完成，暫不對外擴大宣傳。</t>
  </si>
  <si>
    <t>先完成產品訪談</t>
  </si>
  <si>
    <t>產品目的、機制、規格、使用方式、客群、證據</t>
  </si>
  <si>
    <t>材質、尺寸、用途、保固、來源與差異</t>
  </si>
  <si>
    <t>以觀察與整理為核心的體驗工具，不能取代醫療檢查。</t>
  </si>
  <si>
    <t>品牌體驗或說明會</t>
  </si>
  <si>
    <t>檢測項目、數據來源與解讀流程必須清楚揭露。</t>
  </si>
  <si>
    <t>透過一次結構化觀察，整理當下想進一步理解的方向。</t>
  </si>
  <si>
    <t>加入 LINE 預約說明</t>
  </si>
  <si>
    <t>輸出範例、數據來源、解讀資格、限制與免責</t>
  </si>
  <si>
    <t>作為飼主陪伴寵物時的環境與儀式工具。</t>
  </si>
  <si>
    <t>安靜陪伴寵物的時刻</t>
  </si>
  <si>
    <t>不得宣稱治療、改善疾病或取代獸醫。</t>
  </si>
  <si>
    <t>為你和寵物留一段安靜陪伴的時間。</t>
  </si>
  <si>
    <t>加入 LINE 了解使用方式</t>
  </si>
  <si>
    <t>安全性、音量、距離、使用時長、獸醫邊界</t>
  </si>
  <si>
    <t>以聲音、節奏與不同頻道，陪伴專注、休息、冥想或睡前放鬆等生活場景。</t>
  </si>
  <si>
    <t>工作前、短暫休息、冥想、睡前</t>
  </si>
  <si>
    <t>手冊列15個頻道並使用α／β／θ／δ、雙耳波差等描述；對外文案應限於一般生活陪伴，避免疾病治療與保證效果。</t>
  </si>
  <si>
    <t>依當下情境選擇頻道，讓聲音成為回到自己節奏的提示。</t>
  </si>
  <si>
    <t>加入 LINE 取得頻道選擇指南</t>
  </si>
  <si>
    <t>售價、型號、完整操作、音量安全、適用／不適用對象、保固</t>
  </si>
  <si>
    <t>手冊：15頻道；部分30分鐘、20分鐘、睡眠段4小時48分鐘、整合段40分鐘</t>
  </si>
  <si>
    <t>環境或心情很混亂，想先停下來整理界線。</t>
  </si>
  <si>
    <t>忙碌後、回家後、空間整理前</t>
  </si>
  <si>
    <t>老師挑選／外包製作後回到老師手上，再進行淨化與頻率設定；正式步驟、可拍畫面與說法待老師核准。</t>
  </si>
  <si>
    <t>為自己留五分鐘，整理環境，也整理今天不想再帶走的情緒。</t>
  </si>
  <si>
    <t>留言「整理」取得五分鐘儀式清單</t>
  </si>
  <si>
    <t>老師訪談、製作流程、成分／香味、燃燒時間、使用與消防注意、真實回饋與書面同意</t>
  </si>
  <si>
    <t>來源清冊：12×210mm紙套、蠟／精油、黃色、約3.6g；燃燒時間與成分標示待確認</t>
  </si>
  <si>
    <t>中</t>
  </si>
  <si>
    <t>面對金錢與工作選擇時，想重新看清目標和下一步。</t>
  </si>
  <si>
    <t>記帳、規劃、做財務決定前</t>
  </si>
  <si>
    <t>先把焦慮放下，再把真正重要的目標寫清楚。</t>
  </si>
  <si>
    <t>留言「豐盛」取得意圖練習</t>
  </si>
  <si>
    <t>創業或接案時，需要重新整理自己的價值與行動。</t>
  </si>
  <si>
    <t>提案、開店、發布服務前</t>
  </si>
  <si>
    <t>先回到自己能提供的價值，再完成今天最重要的一個行動。</t>
  </si>
  <si>
    <t>留言「顧客」取得行動清單</t>
  </si>
  <si>
    <t>想在關係裡看見自己的期待與界線。</t>
  </si>
  <si>
    <t>約會前、關係整理、寫日記時</t>
  </si>
  <si>
    <t>把注意力從追求結果，帶回你想如何好好與人相處。</t>
  </si>
  <si>
    <t>留言「關係」取得自我提問</t>
  </si>
  <si>
    <t>想重新看見身邊的支持，也提醒自己主動連結。</t>
  </si>
  <si>
    <t>聯絡合作夥伴、感謝他人前</t>
  </si>
  <si>
    <t>回想今天支持你的人，也主動成為別人的一份支持。</t>
  </si>
  <si>
    <t>留言「貴人」取得感謝練習</t>
  </si>
  <si>
    <t>讀書或準備任務前，需要一個固定的開始訊號。</t>
  </si>
  <si>
    <t>閱讀、寫作業、準備考試前</t>
  </si>
  <si>
    <t>先用五分鐘把桌面、呼吸與今天的一小步準備好。</t>
  </si>
  <si>
    <t>留言「學習」取得專注前清單</t>
  </si>
  <si>
    <t>人際壓力太滿，想重新整理自己的界線。</t>
  </si>
  <si>
    <t>衝突後、工作結束、寫界線筆記時</t>
  </si>
  <si>
    <t>不急著改變別人，先辨認自己能決定與不能決定的事。</t>
  </si>
  <si>
    <t>留言「界線」取得整理題目</t>
  </si>
  <si>
    <t>想練習看見生活中已經發生的小好事。</t>
  </si>
  <si>
    <t>晨間、睡前、感恩記錄時</t>
  </si>
  <si>
    <t>記下一件已經發生的好事，再為明天選一個可做到的行動。</t>
  </si>
  <si>
    <t>留言「好運」取得七日記錄表</t>
  </si>
  <si>
    <t>希望在關係中多一點理解與真實對話。</t>
  </si>
  <si>
    <t>溝通前、寫信、伴侶相處時</t>
  </si>
  <si>
    <t>先說出自己的感受與需要，再聽見對方的世界。</t>
  </si>
  <si>
    <t>留言「溝通」取得對話卡</t>
  </si>
  <si>
    <t>晚上腦中仍有很多事，想建立收尾儀式。</t>
  </si>
  <si>
    <t>睡前30分鐘、關閉工作後</t>
  </si>
  <si>
    <t>把今天未完成的事寫下來，讓此刻只負責慢慢收尾。</t>
  </si>
  <si>
    <t>留言「晚安」取得睡前儀式清單</t>
  </si>
  <si>
    <t>第一次接觸希望之光時，以組合體驗儀式與簡短方向整理。</t>
  </si>
  <si>
    <t>想開始但不知道選哪一款時</t>
  </si>
  <si>
    <t>透過簡短諮詢協助選擇，而不是以功效保證成交。</t>
  </si>
  <si>
    <t>先說說你現在最想整理的生活時刻，我們再一起選擇。</t>
  </si>
  <si>
    <t>加入 LINE 預約10分鐘選擇說明</t>
  </si>
  <si>
    <t>21顆內容組成、是否自選、運費、限量50組、退換貨、諮詢範圍</t>
  </si>
  <si>
    <t>來源：售價2,980、成本1,615；構成待確認</t>
  </si>
  <si>
    <t>用結構化數據與對談，整理自己的思維模式、生活節奏與下一步。</t>
  </si>
  <si>
    <t>反覆卡在決策、關係或工作議題時</t>
  </si>
  <si>
    <t>專業入口服務；輸出內容、資料來源和非醫療界線必須清楚。</t>
  </si>
  <si>
    <t>不是替你下結論，而是陪你看見可再探索的線索。</t>
  </si>
  <si>
    <t>加入 LINE 預約一對一觀察</t>
  </si>
  <si>
    <t>流程、報告範例、儀器與方法、隱私同意、轉介醫療條件</t>
  </si>
  <si>
    <t>90分鐘；售價2,980</t>
  </si>
  <si>
    <t>深度諮詢 60分鐘</t>
  </si>
  <si>
    <t>從創賦密碼、靈魂藍圖或掌運卡中選擇合適工具，梳理當下問題。</t>
  </si>
  <si>
    <t>已看見問題、需要進一步整理時</t>
  </si>
  <si>
    <t>諮詢工具與服務範圍須明確，不能替代心理或醫療專業。</t>
  </si>
  <si>
    <t>把零散的感受整理成一個可前進的方向。</t>
  </si>
  <si>
    <t>加入 LINE 選擇諮詢主題</t>
  </si>
  <si>
    <t>三種諮詢的差異、輸出、準備事項、取消政策</t>
  </si>
  <si>
    <t>60分鐘；正式售價1,980（[User] 2026-08-09確認）</t>
  </si>
  <si>
    <t>系統化理解個人優勢、慣性與可實踐方向。</t>
  </si>
  <si>
    <t>希望深度學習並建立自己的整理框架時</t>
  </si>
  <si>
    <t>課程成果以學習與自我探索描述，不保證財務或關係結果。</t>
  </si>
  <si>
    <t>把一次看見，轉成可以反覆使用的方法。</t>
  </si>
  <si>
    <t>加入 LINE 索取課綱</t>
  </si>
  <si>
    <t>課綱、講師、時數、名額、作業、退費、學員回饋同意</t>
  </si>
  <si>
    <t>2天；售價19,800</t>
  </si>
  <si>
    <t>在基礎框架上延伸更完整的個人藍圖探索。</t>
  </si>
  <si>
    <t>完成初步理解、願意進一步投入時</t>
  </si>
  <si>
    <t>核心高價服務；需先定義適合對象與不適合對象。</t>
  </si>
  <si>
    <t>把更多線索放回同一張人生地圖裡。</t>
  </si>
  <si>
    <t>加入 LINE 預約課程說明</t>
  </si>
  <si>
    <t>完整課綱、與2天版差異、成果形式、退費、學員回饋同意</t>
  </si>
  <si>
    <t>3天；售價29,800</t>
  </si>
  <si>
    <t>05｜庫存異動</t>
  </si>
  <si>
    <t>只記一筆一筆的異動；數量一律填正數，由異動類型決定加減。實體盤點先建立『期初』。</t>
  </si>
  <si>
    <t>異動ID</t>
  </si>
  <si>
    <t>日期</t>
  </si>
  <si>
    <t>產品名稱</t>
  </si>
  <si>
    <t>異動類型</t>
  </si>
  <si>
    <t>數量</t>
  </si>
  <si>
    <t>金額</t>
  </si>
  <si>
    <t>關聯單號</t>
  </si>
  <si>
    <t>對象／供應商</t>
  </si>
  <si>
    <t>經手人</t>
  </si>
  <si>
    <t>06｜庫存總覽</t>
  </si>
  <si>
    <t>由05_庫存異動自動彙總。若顯示『待建立期初』，代表不是0庫存，而是尚未完成真實盤點。</t>
  </si>
  <si>
    <t>期初</t>
  </si>
  <si>
    <t>進貨</t>
  </si>
  <si>
    <t>退貨入庫</t>
  </si>
  <si>
    <t>盤盈</t>
  </si>
  <si>
    <t>銷售</t>
  </si>
  <si>
    <t>退貨出庫</t>
  </si>
  <si>
    <t>贈品／樣品</t>
  </si>
  <si>
    <t>盤虧</t>
  </si>
  <si>
    <t>即時庫存</t>
  </si>
  <si>
    <t>庫存成本</t>
  </si>
  <si>
    <t>最後異動</t>
  </si>
  <si>
    <t>07｜銷售訂單</t>
  </si>
  <si>
    <t>一列是一個訂單品項；同一訂單多品項可重複訂單ID。實體商品成交後，仍需在05_庫存異動記一筆『銷售』。</t>
  </si>
  <si>
    <t>訂單ID</t>
  </si>
  <si>
    <t>訂單日期</t>
  </si>
  <si>
    <t>客戶ID</t>
  </si>
  <si>
    <t>客戶名稱</t>
  </si>
  <si>
    <t>通路</t>
  </si>
  <si>
    <t>來源內容ID</t>
  </si>
  <si>
    <t>單價</t>
  </si>
  <si>
    <t>折扣</t>
  </si>
  <si>
    <t>運費</t>
  </si>
  <si>
    <t>應收金額</t>
  </si>
  <si>
    <t>實收金額</t>
  </si>
  <si>
    <t>付款狀態</t>
  </si>
  <si>
    <t>履約狀態</t>
  </si>
  <si>
    <t>物流單號</t>
  </si>
  <si>
    <t>下次回訪日</t>
  </si>
  <si>
    <t>負責人</t>
  </si>
  <si>
    <t>08｜客戶CRM</t>
  </si>
  <si>
    <t>只蒐集服務與回訪需要的資料。MEGAWING舊國外客戶未匯入；故事公開與行銷同意分開記錄。</t>
  </si>
  <si>
    <t>姓名／稱呼</t>
  </si>
  <si>
    <t>客戶類型</t>
  </si>
  <si>
    <t>電話</t>
  </si>
  <si>
    <t>LINE</t>
  </si>
  <si>
    <t>Email</t>
  </si>
  <si>
    <t>IG</t>
  </si>
  <si>
    <t>縣市／國家</t>
  </si>
  <si>
    <t>生日</t>
  </si>
  <si>
    <t>性別</t>
  </si>
  <si>
    <t>年齡區間</t>
  </si>
  <si>
    <t>首次來源內容ID</t>
  </si>
  <si>
    <t>首次來源</t>
  </si>
  <si>
    <t>首次接觸日</t>
  </si>
  <si>
    <t>主要困擾</t>
  </si>
  <si>
    <t>事財情家體</t>
  </si>
  <si>
    <t>需求標籤</t>
  </si>
  <si>
    <t>身份／專長</t>
  </si>
  <si>
    <t>曾購產品</t>
  </si>
  <si>
    <t>最近服務</t>
  </si>
  <si>
    <t>最近聯絡日</t>
  </si>
  <si>
    <t>行銷同意</t>
  </si>
  <si>
    <t>故事公開同意</t>
  </si>
  <si>
    <t>P-0001</t>
  </si>
  <si>
    <t>小嵐</t>
  </si>
  <si>
    <t>經銷／合作夥伴</t>
  </si>
  <si>
    <t>lan_0704</t>
  </si>
  <si>
    <t>大小貴人經銷名單</t>
  </si>
  <si>
    <t>團購主／腦波老師</t>
  </si>
  <si>
    <t>未知</t>
  </si>
  <si>
    <t>老師</t>
  </si>
  <si>
    <t>僅匯入來源已有的最少資料</t>
  </si>
  <si>
    <t>P-0002</t>
  </si>
  <si>
    <t>芷瑜</t>
  </si>
  <si>
    <t>腦波老師</t>
  </si>
  <si>
    <t>P-0003</t>
  </si>
  <si>
    <t>翁子涵</t>
  </si>
  <si>
    <t>網紅</t>
  </si>
  <si>
    <t>P-0004</t>
  </si>
  <si>
    <t>嘉元</t>
  </si>
  <si>
    <t>法師</t>
  </si>
  <si>
    <t>09｜服務紀錄</t>
  </si>
  <si>
    <t>一列是一回服務或互動摘要。記錄生活議題與客戶自述，不在表內自行下醫療診斷。</t>
  </si>
  <si>
    <t>紀錄ID</t>
  </si>
  <si>
    <t>服務SKU</t>
  </si>
  <si>
    <t>服務名稱</t>
  </si>
  <si>
    <t>主要議題</t>
  </si>
  <si>
    <t>服務摘要</t>
  </si>
  <si>
    <t>觀察資料／檔案</t>
  </si>
  <si>
    <t>建議下一步</t>
  </si>
  <si>
    <t>推薦SKU</t>
  </si>
  <si>
    <t>回訪日</t>
  </si>
  <si>
    <t>客戶自述觀察</t>
  </si>
  <si>
    <t>隱私等級</t>
  </si>
  <si>
    <t>10｜回訪任務</t>
  </si>
  <si>
    <t>把『記得再聯絡』變成有日期、有腳本、有結果的任務；完成後可建立下一次任務。</t>
  </si>
  <si>
    <t>任務ID</t>
  </si>
  <si>
    <t>觸發類型</t>
  </si>
  <si>
    <t>來源紀錄ID</t>
  </si>
  <si>
    <t>到期日</t>
  </si>
  <si>
    <t>任務內容</t>
  </si>
  <si>
    <t>建議訊息</t>
  </si>
  <si>
    <t>完成日</t>
  </si>
  <si>
    <t>結果</t>
  </si>
  <si>
    <t>下一任務日</t>
  </si>
  <si>
    <t>11｜內容主題庫</t>
  </si>
  <si>
    <t>40個種子題目都有任務、產品角色、CTA、證據與風險；故事題只能換入真實案例，不能照題目虛構。</t>
  </si>
  <si>
    <t>內容ID</t>
  </si>
  <si>
    <t>帳號</t>
  </si>
  <si>
    <t>漏斗階段</t>
  </si>
  <si>
    <t>內容類型</t>
  </si>
  <si>
    <t>標題／Hook</t>
  </si>
  <si>
    <t>客戶議題</t>
  </si>
  <si>
    <t>產品角色</t>
  </si>
  <si>
    <t>格式</t>
  </si>
  <si>
    <t>誘因／承接</t>
  </si>
  <si>
    <t>所需證據</t>
  </si>
  <si>
    <t>預定拍攝日</t>
  </si>
  <si>
    <t>預定發布日</t>
  </si>
  <si>
    <t>實際發布日</t>
  </si>
  <si>
    <t>連結</t>
  </si>
  <si>
    <t>CNT-001</t>
  </si>
  <si>
    <t>hopelight.ig</t>
  </si>
  <si>
    <t>認識</t>
  </si>
  <si>
    <t>真實故事</t>
  </si>
  <si>
    <t>她真正放下的，不是問題，而是一直責怪自己的方式</t>
  </si>
  <si>
    <t>情緒／自我理解</t>
  </si>
  <si>
    <t>Reels</t>
  </si>
  <si>
    <t>留言「看見」</t>
  </si>
  <si>
    <t>第一次探索準備清單</t>
  </si>
  <si>
    <t>須有真實案例與書面同意</t>
  </si>
  <si>
    <t>想法</t>
  </si>
  <si>
    <t>CNT-002</t>
  </si>
  <si>
    <t>知識</t>
  </si>
  <si>
    <t>你不是做不了決定，可能是腦中同時有太多聲音</t>
  </si>
  <si>
    <t>決策／工作</t>
  </si>
  <si>
    <t>思緒整理三問</t>
  </si>
  <si>
    <t>不可診斷；用觀察語氣</t>
  </si>
  <si>
    <t>CNT-003</t>
  </si>
  <si>
    <t>FAQ</t>
  </si>
  <si>
    <t>第一次做腦意識觀察，90分鐘到底會發生什麼？</t>
  </si>
  <si>
    <t>陌生感／風險</t>
  </si>
  <si>
    <t>輪播</t>
  </si>
  <si>
    <t>預約說明</t>
  </si>
  <si>
    <t>流程圖</t>
  </si>
  <si>
    <t>需老師核對完整流程</t>
  </si>
  <si>
    <t>低</t>
  </si>
  <si>
    <t>CNT-004</t>
  </si>
  <si>
    <t>考慮</t>
  </si>
  <si>
    <t>她以為自己需要更努力，最後先學會把事情排順序</t>
  </si>
  <si>
    <t>工作／焦慮</t>
  </si>
  <si>
    <t>留言「整理」</t>
  </si>
  <si>
    <t>個案問題整理表</t>
  </si>
  <si>
    <t>真實案例；不承諾結果</t>
  </si>
  <si>
    <t>CNT-005</t>
  </si>
  <si>
    <t>腦波是方法，不是主角：真正要整理的是你的生活</t>
  </si>
  <si>
    <t>品牌理解</t>
  </si>
  <si>
    <t>服務差異表</t>
  </si>
  <si>
    <t>避免科學過度延伸</t>
  </si>
  <si>
    <t>CNT-006</t>
  </si>
  <si>
    <t>這是醫療檢查嗎？什麼情況應該先找醫師？</t>
  </si>
  <si>
    <t>安全／信任</t>
  </si>
  <si>
    <t>查看服務界線</t>
  </si>
  <si>
    <t>服務界線清單</t>
  </si>
  <si>
    <t>需保守、清楚轉介</t>
  </si>
  <si>
    <t>CNT-007</t>
  </si>
  <si>
    <t>事、財、情、家、體：如何看見同一個問題的不同面向</t>
  </si>
  <si>
    <t>問題梳理</t>
  </si>
  <si>
    <t>留言最卡的一面</t>
  </si>
  <si>
    <t>五面向自評</t>
  </si>
  <si>
    <t>不得取代專業評估</t>
  </si>
  <si>
    <t>CNT-008</t>
  </si>
  <si>
    <t>行動</t>
  </si>
  <si>
    <t>腦意識觀察、深度諮詢、課程，我該從哪裡開始？</t>
  </si>
  <si>
    <t>選擇困難</t>
  </si>
  <si>
    <t>加入LINE選路徑</t>
  </si>
  <si>
    <t>服務選擇表</t>
  </si>
  <si>
    <t>價格與流程需核准</t>
  </si>
  <si>
    <t>CNT-009</t>
  </si>
  <si>
    <t>幕後</t>
  </si>
  <si>
    <t>一份個案紀錄，如何被整理成下一次更好的陪伴</t>
  </si>
  <si>
    <t>專業信任</t>
  </si>
  <si>
    <t>證據系統</t>
  </si>
  <si>
    <t>個資保護說明</t>
  </si>
  <si>
    <t>畫面須去識別</t>
  </si>
  <si>
    <t>CNT-010</t>
  </si>
  <si>
    <t>那次談完，她終於說出真正不敢選的原因</t>
  </si>
  <si>
    <t>人生方向</t>
  </si>
  <si>
    <t>預約深度整理</t>
  </si>
  <si>
    <t>諮詢前準備</t>
  </si>
  <si>
    <t>須有同意；不得暗示必然效果</t>
  </si>
  <si>
    <t>CNT-011</t>
  </si>
  <si>
    <t>預約前要準備什麼？三件事讓90分鐘更聚焦</t>
  </si>
  <si>
    <t>預約阻力</t>
  </si>
  <si>
    <t>限動精選</t>
  </si>
  <si>
    <t>立即預約</t>
  </si>
  <si>
    <t>準備清單</t>
  </si>
  <si>
    <t>流程需核准</t>
  </si>
  <si>
    <t>CNT-012</t>
  </si>
  <si>
    <t>留存</t>
  </si>
  <si>
    <t>做完一次觀察後，如何把看見變成一個月的生活練習</t>
  </si>
  <si>
    <t>持續行動</t>
  </si>
  <si>
    <t>索取課綱</t>
  </si>
  <si>
    <t>30日練習表</t>
  </si>
  <si>
    <t>不可承諾人生改變</t>
  </si>
  <si>
    <t>CNT-013</t>
  </si>
  <si>
    <t>2天課與3天課差在哪？適合什麼樣的人？</t>
  </si>
  <si>
    <t>課程選擇</t>
  </si>
  <si>
    <t>加入LINE索取課綱</t>
  </si>
  <si>
    <t>課程比較表</t>
  </si>
  <si>
    <t>課綱與名稱待確認</t>
  </si>
  <si>
    <t>CNT-014</t>
  </si>
  <si>
    <t>一位媽媽真正想找回的，不只是孩子的表現</t>
  </si>
  <si>
    <t>親子</t>
  </si>
  <si>
    <t>留言「親子」</t>
  </si>
  <si>
    <t>親子對話提問</t>
  </si>
  <si>
    <t>不可宣稱改善注意力／成績</t>
  </si>
  <si>
    <t>CNT-015</t>
  </si>
  <si>
    <t>當腦中一直在加班：今晚先做一個收尾動作</t>
  </si>
  <si>
    <t>夜間節奏</t>
  </si>
  <si>
    <t>生活入口</t>
  </si>
  <si>
    <t>留言「晚安」</t>
  </si>
  <si>
    <t>睡前儀式清單</t>
  </si>
  <si>
    <t>不可說治療失眠</t>
  </si>
  <si>
    <t>CNT-016</t>
  </si>
  <si>
    <t>hopelight.moment</t>
  </si>
  <si>
    <t>一顆蠟燭出生的故事：回到老師手上之後</t>
  </si>
  <si>
    <t>產品差異</t>
  </si>
  <si>
    <t>製作流程卡</t>
  </si>
  <si>
    <t>淨化／頻率流程須老師核准</t>
  </si>
  <si>
    <t>CNT-017</t>
  </si>
  <si>
    <t>為什麼不是點了就等結果？五分鐘儀式真正做的事</t>
  </si>
  <si>
    <t>產品誤解</t>
  </si>
  <si>
    <t>留言「五分鐘」</t>
  </si>
  <si>
    <t>儀式清單</t>
  </si>
  <si>
    <t>避免能量功效保證</t>
  </si>
  <si>
    <t>CNT-018</t>
  </si>
  <si>
    <t>蠟燭可以一次點幾顆？要不要一次燒到底？</t>
  </si>
  <si>
    <t>使用方式</t>
  </si>
  <si>
    <t>加入LINE詢問</t>
  </si>
  <si>
    <t>安全使用卡</t>
  </si>
  <si>
    <t>消防與正式用法待核准</t>
  </si>
  <si>
    <t>CNT-019</t>
  </si>
  <si>
    <t>今天的希望故事：她先把財務焦慮寫下來</t>
  </si>
  <si>
    <t>財富／焦慮</t>
  </si>
  <si>
    <t>圖文</t>
  </si>
  <si>
    <t>留言「豐盛」</t>
  </si>
  <si>
    <t>意圖練習</t>
  </si>
  <si>
    <t>不得寫招財必然結果</t>
  </si>
  <si>
    <t>CNT-020</t>
  </si>
  <si>
    <t>今天的希望故事：創業者先重新說清楚自己的價值</t>
  </si>
  <si>
    <t>創業／顧客</t>
  </si>
  <si>
    <t>留言「顧客」</t>
  </si>
  <si>
    <t>行動清單</t>
  </si>
  <si>
    <t>需真實案例與同意</t>
  </si>
  <si>
    <t>CNT-021</t>
  </si>
  <si>
    <t>今天的希望故事：關係裡先練習說出需要</t>
  </si>
  <si>
    <t>情感</t>
  </si>
  <si>
    <t>留言「溝通」</t>
  </si>
  <si>
    <t>對話卡</t>
  </si>
  <si>
    <t>不得保證關係升溫</t>
  </si>
  <si>
    <t>CNT-022</t>
  </si>
  <si>
    <t>第一次買，十款蠟燭怎麼選？先看生活時刻，不看願望清單</t>
  </si>
  <si>
    <t>加入LINE選擇</t>
  </si>
  <si>
    <t>情境選擇表</t>
  </si>
  <si>
    <t>組合內容需核准</t>
  </si>
  <si>
    <t>CNT-023</t>
  </si>
  <si>
    <t>21顆首購組包含什麼？10分鐘諮詢能問什麼？</t>
  </si>
  <si>
    <t>購買阻力</t>
  </si>
  <si>
    <t>轉換</t>
  </si>
  <si>
    <t>預約10分鐘</t>
  </si>
  <si>
    <t>組合明細</t>
  </si>
  <si>
    <t>限量、運費、成本均待確認</t>
  </si>
  <si>
    <t>CNT-024</t>
  </si>
  <si>
    <t>七天後，我們為什麼會再問你一次使用感受？</t>
  </si>
  <si>
    <t>售後／信任</t>
  </si>
  <si>
    <t>限動</t>
  </si>
  <si>
    <t>回覆使用感受</t>
  </si>
  <si>
    <t>七日回訪表</t>
  </si>
  <si>
    <t>回饋不等於療效證明</t>
  </si>
  <si>
    <t>CNT-025</t>
  </si>
  <si>
    <t>老師如何挑選、確認、整理每一批蠟燭</t>
  </si>
  <si>
    <t>品質信任</t>
  </si>
  <si>
    <t>批次紀錄</t>
  </si>
  <si>
    <t>只拍真實存在流程</t>
  </si>
  <si>
    <t>CNT-026</t>
  </si>
  <si>
    <t>儀式感不是迷信：它如何幫你記得停下來</t>
  </si>
  <si>
    <t>生活節奏</t>
  </si>
  <si>
    <t>留言「儀式」</t>
  </si>
  <si>
    <t>五分鐘清單</t>
  </si>
  <si>
    <t>不要借用不確定科學結論</t>
  </si>
  <si>
    <t>CNT-027</t>
  </si>
  <si>
    <t>今天的希望故事：親子每天多了五分鐘對話</t>
  </si>
  <si>
    <t>留言「學習」</t>
  </si>
  <si>
    <t>親子對話卡</t>
  </si>
  <si>
    <t>須真實；不連結成績必然改善</t>
  </si>
  <si>
    <t>CNT-028</t>
  </si>
  <si>
    <t>今天的希望故事：她開始分清楚哪些事不必帶回家</t>
  </si>
  <si>
    <t>界線／工作</t>
  </si>
  <si>
    <t>留言「界線」</t>
  </si>
  <si>
    <t>界線練習</t>
  </si>
  <si>
    <t>不把他人標為小人</t>
  </si>
  <si>
    <t>CNT-029</t>
  </si>
  <si>
    <t>蠟燭的成分、香味、燃燒與保存方式一次說明</t>
  </si>
  <si>
    <t>安全／品質</t>
  </si>
  <si>
    <t>收藏本篇</t>
  </si>
  <si>
    <t>安全說明</t>
  </si>
  <si>
    <t>成分與燃燒時間待來源確認</t>
  </si>
  <si>
    <t>CNT-030</t>
  </si>
  <si>
    <t>今天的希望故事：她主動聯絡了一位久未聯絡的支持者</t>
  </si>
  <si>
    <t>人際／貴人</t>
  </si>
  <si>
    <t>留言「貴人」</t>
  </si>
  <si>
    <t>感謝練習</t>
  </si>
  <si>
    <t>不得宣稱吸引特定結果</t>
  </si>
  <si>
    <t>CNT-031</t>
  </si>
  <si>
    <t>大小貴人和蠟燭的差別：一個是工具，一個是儀式？</t>
  </si>
  <si>
    <t>產品選擇</t>
  </si>
  <si>
    <t>加入LINE適配</t>
  </si>
  <si>
    <t>產品比較表</t>
  </si>
  <si>
    <t>產品機制待核准</t>
  </si>
  <si>
    <t>CNT-032</t>
  </si>
  <si>
    <t>小貴人9個頻道，老師會如何依情境說明？</t>
  </si>
  <si>
    <t>產品理解</t>
  </si>
  <si>
    <t>索取頻道表</t>
  </si>
  <si>
    <t>頻道指南</t>
  </si>
  <si>
    <t>不可先使用未核准功效</t>
  </si>
  <si>
    <t>CNT-033</t>
  </si>
  <si>
    <t>諧和腦波訓練機有15個頻道，我該怎麼選？</t>
  </si>
  <si>
    <t>加入LINE取指南</t>
  </si>
  <si>
    <t>頻道選擇表</t>
  </si>
  <si>
    <t>手冊醫療性用語需安全改寫</t>
  </si>
  <si>
    <t>CNT-034</t>
  </si>
  <si>
    <t>專注、休息、冥想、睡前：聲音工具的四種生活用法</t>
  </si>
  <si>
    <t>情境指南</t>
  </si>
  <si>
    <t>避免治療與腦功能保證</t>
  </si>
  <si>
    <t>CNT-035</t>
  </si>
  <si>
    <t>今天的希望故事：一段聲音成為她結束工作的提醒</t>
  </si>
  <si>
    <t>工作收尾</t>
  </si>
  <si>
    <t>分享你的使用時刻</t>
  </si>
  <si>
    <t>使用日記</t>
  </si>
  <si>
    <t>需真實回饋與同意</t>
  </si>
  <si>
    <t>CNT-036</t>
  </si>
  <si>
    <t>服務結束後，我們怎麼陪你把下一步走穩？</t>
  </si>
  <si>
    <t>售後／回訪</t>
  </si>
  <si>
    <t>加入LINE建立回訪</t>
  </si>
  <si>
    <t>30日追蹤表</t>
  </si>
  <si>
    <t>不可保證成效</t>
  </si>
  <si>
    <t>CNT-037</t>
  </si>
  <si>
    <t>老師六年來最難忘的一次『看見』</t>
  </si>
  <si>
    <t>創辦人故事</t>
  </si>
  <si>
    <t>品牌信任</t>
  </si>
  <si>
    <t>追蹤帳號</t>
  </si>
  <si>
    <t>品牌故事</t>
  </si>
  <si>
    <t>老師親述並核准；資歷證據待核對</t>
  </si>
  <si>
    <t>CNT-038</t>
  </si>
  <si>
    <t>見證</t>
  </si>
  <si>
    <t>三種回饋怎麼看：感受、行動與長期觀察</t>
  </si>
  <si>
    <t>證據理解</t>
  </si>
  <si>
    <t>查看希望故事庫</t>
  </si>
  <si>
    <t>回饋判讀卡</t>
  </si>
  <si>
    <t>不可把主觀回饋當科學證明</t>
  </si>
  <si>
    <t>CNT-039</t>
  </si>
  <si>
    <t>這一週，你為自己留下了哪五分鐘？</t>
  </si>
  <si>
    <t>社群參與</t>
  </si>
  <si>
    <t>限動互動</t>
  </si>
  <si>
    <t>投稿你的Moment</t>
  </si>
  <si>
    <t>投稿同意說明</t>
  </si>
  <si>
    <t>投稿須取得二次發布同意</t>
  </si>
  <si>
    <t>CNT-040</t>
  </si>
  <si>
    <t>找老師前先回答這三題：你想整理什麼、試過什麼、下一步想要什麼</t>
  </si>
  <si>
    <t>預約準備</t>
  </si>
  <si>
    <t>加入LINE回答三題</t>
  </si>
  <si>
    <t>預約表單</t>
  </si>
  <si>
    <t>避免蒐集不必要敏感資料</t>
  </si>
  <si>
    <t>12｜內容成效</t>
  </si>
  <si>
    <t>觀看不是終點。每支內容用同一內容ID追到LINE新增、預約、訂單與實收，才能判斷是否值得放大。</t>
  </si>
  <si>
    <t>發布日</t>
  </si>
  <si>
    <t>平台</t>
  </si>
  <si>
    <t>觀看</t>
  </si>
  <si>
    <t>3秒觀看</t>
  </si>
  <si>
    <t>平均觀看秒</t>
  </si>
  <si>
    <t>完播率</t>
  </si>
  <si>
    <t>收藏</t>
  </si>
  <si>
    <t>分享</t>
  </si>
  <si>
    <t>留言</t>
  </si>
  <si>
    <t>私訊</t>
  </si>
  <si>
    <t>LINE新增</t>
  </si>
  <si>
    <t>預約</t>
  </si>
  <si>
    <t>訂單</t>
  </si>
  <si>
    <t>實收</t>
  </si>
  <si>
    <t>廣告費</t>
  </si>
  <si>
    <t>互動率</t>
  </si>
  <si>
    <t>LINE轉換率</t>
  </si>
  <si>
    <t>預約轉換率</t>
  </si>
  <si>
    <t>成交轉換率</t>
  </si>
  <si>
    <t>13｜希望故事庫</t>
  </si>
  <si>
    <t>每則故事都必須可回溯來源、取得同意、完成匿名與風險審查。客戶主觀感受不等於產品功效證明。</t>
  </si>
  <si>
    <t>故事ID</t>
  </si>
  <si>
    <t>匿名稱呼</t>
  </si>
  <si>
    <t>來源日期</t>
  </si>
  <si>
    <t>來源管道</t>
  </si>
  <si>
    <t>產品／服務</t>
  </si>
  <si>
    <t>原先情境</t>
  </si>
  <si>
    <t>採取的行動</t>
  </si>
  <si>
    <t>原始證據路徑</t>
  </si>
  <si>
    <t>內部使用同意</t>
  </si>
  <si>
    <t>匿名公開同意</t>
  </si>
  <si>
    <t>已去識別</t>
  </si>
  <si>
    <t>核准文案</t>
  </si>
  <si>
    <t>審核人</t>
  </si>
  <si>
    <t>風險</t>
  </si>
  <si>
    <t>發布連結</t>
  </si>
  <si>
    <t>撤回日</t>
  </si>
  <si>
    <t>14｜LINE漏斗</t>
  </si>
  <si>
    <t>一列是一個名單／對話。記錄來源內容ID與下一步，才能知道短影音是否真正帶來有效對話與成交。</t>
  </si>
  <si>
    <t>名單ID</t>
  </si>
  <si>
    <t>進線日</t>
  </si>
  <si>
    <t>關鍵字</t>
  </si>
  <si>
    <t>主要需求</t>
  </si>
  <si>
    <t>首次回覆時間</t>
  </si>
  <si>
    <t>回覆分鐘</t>
  </si>
  <si>
    <t>下一步</t>
  </si>
  <si>
    <t>下次行動日</t>
  </si>
  <si>
    <t>預約日</t>
  </si>
  <si>
    <t>流失原因</t>
  </si>
  <si>
    <t>15｜LINE回覆SOP</t>
  </si>
  <si>
    <t>先用情境與資格提問理解需求，再給一個下一步。高風險健康需求要升級或轉介，不能用產品承諾承接。</t>
  </si>
  <si>
    <t>情境</t>
  </si>
  <si>
    <t>觸發／關鍵字</t>
  </si>
  <si>
    <t>目的</t>
  </si>
  <si>
    <t>第一回覆</t>
  </si>
  <si>
    <t>資格提問</t>
  </si>
  <si>
    <t>下一個CTA</t>
  </si>
  <si>
    <t>LINE標籤</t>
  </si>
  <si>
    <t>回覆SLA</t>
  </si>
  <si>
    <t>禁止說法</t>
  </si>
  <si>
    <t>腦意識觀察詢問</t>
  </si>
  <si>
    <t>腦波／檢測／看見</t>
  </si>
  <si>
    <t>確認需求並引導到90分鐘專業入口</t>
  </si>
  <si>
    <t>謝謝你來訊。想先了解一下，你現在最想整理的是工作、關係、家庭、情緒，還是生活節奏？</t>
  </si>
  <si>
    <t>這個困擾多久了？你最希望先看清哪一件事？是否已有醫療或心理專業協助？</t>
  </si>
  <si>
    <t>提供流程、界線與可預約時段</t>
  </si>
  <si>
    <t>LEAD_腦意識</t>
  </si>
  <si>
    <t>60分鐘內</t>
  </si>
  <si>
    <t>治療、診斷、保證改善</t>
  </si>
  <si>
    <t>蠟燭選擇</t>
  </si>
  <si>
    <t>蠟燭／五分鐘／校準</t>
  </si>
  <si>
    <t>依生活情境協助選擇，不用功效恐嚇</t>
  </si>
  <si>
    <t>可以先不急著選編號。你最近最想為哪一個生活時刻留五分鐘？</t>
  </si>
  <si>
    <t>使用時段？主要情境？是否對香味或成分敏感？</t>
  </si>
  <si>
    <t>提供情境選擇表或首購組說明</t>
  </si>
  <si>
    <t>LEAD_蠟燭</t>
  </si>
  <si>
    <t>一定招財、一定好眠、保證有效</t>
  </si>
  <si>
    <t>大小貴人詢問</t>
  </si>
  <si>
    <t>大貴人／小貴人</t>
  </si>
  <si>
    <t>先確認版本與使用情境</t>
  </si>
  <si>
    <t>大小貴人有不同版本，先讓我了解你主要想在什麼時刻使用。</t>
  </si>
  <si>
    <t>需要幾個頻道？使用場景？是否需要攜帶？</t>
  </si>
  <si>
    <t>提供核准後的版本比較與示範</t>
  </si>
  <si>
    <t>LEAD_大小貴人</t>
  </si>
  <si>
    <t>未核准頻率功效、醫療效果</t>
  </si>
  <si>
    <t>待產品資料</t>
  </si>
  <si>
    <t>課程詢問</t>
  </si>
  <si>
    <t>課程／創賦／天賦／靈魂藍圖</t>
  </si>
  <si>
    <t>判斷適合2天或3天及學習期待</t>
  </si>
  <si>
    <t>想先了解你希望從課程帶走什麼，以及目前是否做過一對一觀察或諮詢。</t>
  </si>
  <si>
    <t>學習目標？可投入時間？想要2天或完整3天？</t>
  </si>
  <si>
    <t>提供課綱、差異、費用與下一場時間</t>
  </si>
  <si>
    <t>LEAD_課程</t>
  </si>
  <si>
    <t>工作日4小時內</t>
  </si>
  <si>
    <t>保證人生、財富或關係結果</t>
  </si>
  <si>
    <t>待課綱</t>
  </si>
  <si>
    <t>諧和機詢問</t>
  </si>
  <si>
    <t>諧和／腦波訓練機／聲音</t>
  </si>
  <si>
    <t>用生活場景介紹15頻道與安全界線</t>
  </si>
  <si>
    <t>這台工具包含不同聲音頻道；你比較想用在專注、短暫休息、冥想還是睡前？</t>
  </si>
  <si>
    <t>使用環境？音量習慣？是否需要先看操作示範？</t>
  </si>
  <si>
    <t>提供安全改寫後的頻道指南</t>
  </si>
  <si>
    <t>LEAD_諧和</t>
  </si>
  <si>
    <t>治療失眠、憂鬱、自律神經或細胞再生</t>
  </si>
  <si>
    <t>價格詢問</t>
  </si>
  <si>
    <t>多少錢／價格／優惠</t>
  </si>
  <si>
    <t>透明說明正式價格與包含內容</t>
  </si>
  <si>
    <t>我先把目前正式方案與包含內容整理給你，也會標明需要另外確認的項目。</t>
  </si>
  <si>
    <t>想了解單品、組合、服務或課程？</t>
  </si>
  <si>
    <t>提供產品主檔中的核准價格</t>
  </si>
  <si>
    <t>LEAD_價格</t>
  </si>
  <si>
    <t>尚未核准價格、倒數恐嚇</t>
  </si>
  <si>
    <t>待價格確認</t>
  </si>
  <si>
    <t>疑似醫療需求</t>
  </si>
  <si>
    <t>失眠／憂鬱／焦慮症／ADHD／疾病</t>
  </si>
  <si>
    <t>清楚劃界並優先建議合格專業協助</t>
  </si>
  <si>
    <t>謝謝你願意說。希望之光提供的是自我觀察與生活整理，不能取代醫療或心理專業；若症狀持續或影響安全，請優先尋求合格專業人員。</t>
  </si>
  <si>
    <t>目前是否已有醫師／心理師協助？是否有立即安全風險？</t>
  </si>
  <si>
    <t>必要時停止銷售話術並提供求助方向</t>
  </si>
  <si>
    <t>RISK_轉介</t>
  </si>
  <si>
    <t>立即升級老師</t>
  </si>
  <si>
    <t>診斷、停藥建議、療效承諾</t>
  </si>
  <si>
    <t>內部必備</t>
  </si>
  <si>
    <t>故事授權</t>
  </si>
  <si>
    <t>回饋／分享／投稿</t>
  </si>
  <si>
    <t>取得清楚同意並保留撤回機制</t>
  </si>
  <si>
    <t>謝謝你的分享。若希望整理成品牌故事，我們會先去除可辨識資訊並把成稿交給你確認；不同意也完全不影響服務。</t>
  </si>
  <si>
    <t>可否內部使用？可否匿名公開？哪些細節不可使用？</t>
  </si>
  <si>
    <t>建立故事ID、同意狀態與核准稿</t>
  </si>
  <si>
    <t>CONSENT_故事</t>
  </si>
  <si>
    <t>3個工作日</t>
  </si>
  <si>
    <t>未經同意截圖、暗示必然效果</t>
  </si>
  <si>
    <t>購買後7日</t>
  </si>
  <si>
    <t>收集使用狀況、問題與主觀觀察</t>
  </si>
  <si>
    <t>想關心你這一週的使用狀況：哪個時刻最容易做到？有沒有任何不便或問題？</t>
  </si>
  <si>
    <t>使用頻率？最有感的生活時刻？是否需要操作說明？</t>
  </si>
  <si>
    <t>記錄服務與回訪；另行詢問故事同意</t>
  </si>
  <si>
    <t>FOLLOW_7D</t>
  </si>
  <si>
    <t>到期當日</t>
  </si>
  <si>
    <t>誘導正面見證、把感受寫成療效</t>
  </si>
  <si>
    <t>客訴／退換</t>
  </si>
  <si>
    <t>不滿／瑕疵／退貨</t>
  </si>
  <si>
    <t>先處理事實與安全，不急著辯解</t>
  </si>
  <si>
    <t>收到你的訊息，我先幫你把訂單與狀況完整記下來。請提供訂單編號、產品照片與希望的處理方式。</t>
  </si>
  <si>
    <t>何時收到？問題是什麼？是否有安全風險？</t>
  </si>
  <si>
    <t>依退換貨政策處理並記錄原因</t>
  </si>
  <si>
    <t>SERVICE_客訴</t>
  </si>
  <si>
    <t>30分鐘內確認收到</t>
  </si>
  <si>
    <t>責怪客戶、未查明就承諾或拒絕</t>
  </si>
  <si>
    <t>待政策</t>
  </si>
  <si>
    <t>16｜分潤試算</t>
  </si>
  <si>
    <t>這是決策試算，不是已成立契約。先填結算期間、基準營收、費率與實際成本，再以書面合作條款為準。</t>
  </si>
  <si>
    <t>結算設定（黃色欄由雙方確認）</t>
  </si>
  <si>
    <t>結算開始日</t>
  </si>
  <si>
    <t>填日期</t>
  </si>
  <si>
    <t>結算結束日</t>
  </si>
  <si>
    <t>固定顧問費</t>
  </si>
  <si>
    <t>不與營收保證綁定</t>
  </si>
  <si>
    <t>基準營收</t>
  </si>
  <si>
    <t>績效獎金只計超過基準的部分</t>
  </si>
  <si>
    <t>績效獎金率</t>
  </si>
  <si>
    <t>例如5%填5%</t>
  </si>
  <si>
    <t>預估其他費用</t>
  </si>
  <si>
    <t>稅、金流、廣告或經雙方同意費用</t>
  </si>
  <si>
    <t>結算摘要（公式）</t>
  </si>
  <si>
    <t>期間實收</t>
  </si>
  <si>
    <t>產品成本</t>
  </si>
  <si>
    <t>期間毛利</t>
  </si>
  <si>
    <t>超額營收</t>
  </si>
  <si>
    <t>績效獎金</t>
  </si>
  <si>
    <t>新產品分潤</t>
  </si>
  <si>
    <t>應付規劃者</t>
  </si>
  <si>
    <t>期間數量</t>
  </si>
  <si>
    <t>是否新產品</t>
  </si>
  <si>
    <t>新產品分潤率</t>
  </si>
  <si>
    <t>成本與新產品定義須書面確認</t>
  </si>
  <si>
    <t>17｜品牌決策</t>
  </si>
  <si>
    <t>建議不等於老師已核准。所有會改變品牌方向、價格、宣稱、資料使用或合作權益的項目，都在這裡留下決策。</t>
  </si>
  <si>
    <t>決策ID</t>
  </si>
  <si>
    <t>類別</t>
  </si>
  <si>
    <t>要決定什麼</t>
  </si>
  <si>
    <t>本版建議</t>
  </si>
  <si>
    <t>理由／依據</t>
  </si>
  <si>
    <t>最晚決策點</t>
  </si>
  <si>
    <t>決策者</t>
  </si>
  <si>
    <t>最終決定</t>
  </si>
  <si>
    <t>決策日期</t>
  </si>
  <si>
    <t>證據／會議</t>
  </si>
  <si>
    <t>BD-001</t>
  </si>
  <si>
    <t>品牌</t>
  </si>
  <si>
    <t>母品牌正式名稱</t>
  </si>
  <si>
    <t>希望之光 Hope Light</t>
  </si>
  <si>
    <t>使用者本次明確稱為希望之光；來源曾混用希望之盒，需統一</t>
  </si>
  <si>
    <t>Day 5</t>
  </si>
  <si>
    <t>BD-002</t>
  </si>
  <si>
    <t>架構</t>
  </si>
  <si>
    <t>老師個人與產品品牌關係</t>
  </si>
  <si>
    <t>老師是信任核心，希望之光承接全部服務與產品</t>
  </si>
  <si>
    <t>現階段成交基於老師信任，先避免切成多個互不相連品牌</t>
  </si>
  <si>
    <t>建議</t>
  </si>
  <si>
    <t>BD-003</t>
  </si>
  <si>
    <t>定位</t>
  </si>
  <si>
    <t>品牌承諾</t>
  </si>
  <si>
    <t>陪你看見自己，找到適合自己的節奏</t>
  </si>
  <si>
    <t>生活語言、可跨服務與產品、避免醫療暗示</t>
  </si>
  <si>
    <t>Day 7</t>
  </si>
  <si>
    <t>BD-004</t>
  </si>
  <si>
    <t>雙帳號分工</t>
  </si>
  <si>
    <t>hopelight.ig負責專業與看見；hopelight.moment負責故事、產品與陪伴</t>
  </si>
  <si>
    <t>來源兩份藍圖均採雙引擎；需避免重複內容</t>
  </si>
  <si>
    <t>Day 14</t>
  </si>
  <si>
    <t>BD-005</t>
  </si>
  <si>
    <t>旅程</t>
  </si>
  <si>
    <t>主要專業入口</t>
  </si>
  <si>
    <t>腦意識觀察／檢測90分鐘，售價2,980</t>
  </si>
  <si>
    <t>最能建立數據化信任；正式名稱與流程仍需核准</t>
  </si>
  <si>
    <t>Day 10</t>
  </si>
  <si>
    <t>BD-006</t>
  </si>
  <si>
    <t>生活型次入口</t>
  </si>
  <si>
    <t>五分鐘儀式內容→LINE情境選擇→蠟燭／首購組</t>
  </si>
  <si>
    <t>降低直接預約門檻，與專業入口形成雙軌而非互斥</t>
  </si>
  <si>
    <t>BD-007</t>
  </si>
  <si>
    <t>蠟燭核心定位</t>
  </si>
  <si>
    <t>不是結果保證，而是每天重新整理自己的五分鐘儀式</t>
  </si>
  <si>
    <t>把頻率翻譯為生活行動，兼顧差異化與長期風險</t>
  </si>
  <si>
    <t>Day 12</t>
  </si>
  <si>
    <t>BD-008</t>
  </si>
  <si>
    <t>優先級</t>
  </si>
  <si>
    <t>90天主攻成果</t>
  </si>
  <si>
    <t>先驗證一條專業漏斗＋一條蠟燭回購路徑</t>
  </si>
  <si>
    <t>同時放大所有產品會讓資料與內容再次混亂</t>
  </si>
  <si>
    <t>Day 30</t>
  </si>
  <si>
    <t>BD-009</t>
  </si>
  <si>
    <t>商業</t>
  </si>
  <si>
    <t>蠟燭銷量目標</t>
  </si>
  <si>
    <t>先建立近3個月基準，再訂月目標；不直接採用半年3,000／30,000顆</t>
  </si>
  <si>
    <t>來源目標相差10倍且缺乏產能、流量與基準</t>
  </si>
  <si>
    <t>BD-010</t>
  </si>
  <si>
    <t>合作</t>
  </si>
  <si>
    <t>規劃者報酬模式</t>
  </si>
  <si>
    <t>固定顧問費＋明確可歸因績效獎金；新產品另談分潤</t>
  </si>
  <si>
    <t>避免把營收保證混入基礎建置；先確認成本與歸因</t>
  </si>
  <si>
    <t>Day 15</t>
  </si>
  <si>
    <t>BD-011</t>
  </si>
  <si>
    <t>資料</t>
  </si>
  <si>
    <t>故事與客戶資料同意</t>
  </si>
  <si>
    <t>服務同意、行銷同意、匿名公開同意分開紀錄</t>
  </si>
  <si>
    <t>保護個案並讓故事可長期使用與撤回</t>
  </si>
  <si>
    <t>Day 17</t>
  </si>
  <si>
    <t>BD-012</t>
  </si>
  <si>
    <t>第一份LINE誘因</t>
  </si>
  <si>
    <t>主路徑：第一次探索準備清單；Moment：五分鐘校準儀式清單</t>
  </si>
  <si>
    <t>每個帳號各自承接，不用一份贈品塞所有需求</t>
  </si>
  <si>
    <t>Day 21</t>
  </si>
  <si>
    <t>BD-013</t>
  </si>
  <si>
    <t>大小貴人版本與正式價格</t>
  </si>
  <si>
    <t>暫以價格列表為候選，老師核准後才上線</t>
  </si>
  <si>
    <t>不同分頁價格互換，不能直接對外使用</t>
  </si>
  <si>
    <t>BD-014</t>
  </si>
  <si>
    <t>對外宣稱邊界</t>
  </si>
  <si>
    <t>使用觀察、整理、陪伴、節奏；不使用治療、診斷、保證改善</t>
  </si>
  <si>
    <t>來源文件與手冊含高風險效果語句，需統一改寫</t>
  </si>
  <si>
    <t>BD-015</t>
  </si>
  <si>
    <t>價格</t>
  </si>
  <si>
    <t>60分鐘諮詢正式售價</t>
  </si>
  <si>
    <t>NT$1,980</t>
  </si>
  <si>
    <t>[User] 2026-08-09明確確認；來源出貨頁1,680不採用</t>
  </si>
  <si>
    <t>2026-08-09</t>
  </si>
  <si>
    <t>User</t>
  </si>
  <si>
    <t>已完成</t>
  </si>
  <si>
    <t>18｜資料核對</t>
  </si>
  <si>
    <t>本頁保留不確定性與來源處理紀錄。『已隔離』代表未匯入正式系統，不代表原始檔被刪除。</t>
  </si>
  <si>
    <t>問題ID</t>
  </si>
  <si>
    <t>嚴重度</t>
  </si>
  <si>
    <t>發現</t>
  </si>
  <si>
    <t>影響</t>
  </si>
  <si>
    <t>處理建議</t>
  </si>
  <si>
    <t>來源</t>
  </si>
  <si>
    <t>DQ-001</t>
  </si>
  <si>
    <t>資料污染</t>
  </si>
  <si>
    <t>2022進銷表為GreenBrown茶吸管與餐具模板，非希望之光產品</t>
  </si>
  <si>
    <t>若沿用公式會把舊品名與錯誤邏輯帶入新庫存</t>
  </si>
  <si>
    <t>只借鑑欄位概念，不匯入產品與交易</t>
  </si>
  <si>
    <t>202208_進銷庫存總表自己用0820.xls</t>
  </si>
  <si>
    <t>已隔離</t>
  </si>
  <si>
    <t>DQ-002</t>
  </si>
  <si>
    <t>公式</t>
  </si>
  <si>
    <t>202608庫存表多處出現#REF!與######</t>
  </si>
  <si>
    <t>庫存、出貨與金額無法信任</t>
  </si>
  <si>
    <t>改用異動明細＋SUMIFS重新計算；不複製舊公式</t>
  </si>
  <si>
    <t>希望之光產品庫存表_202608.xls</t>
  </si>
  <si>
    <t>已處理架構</t>
  </si>
  <si>
    <t>DQ-003</t>
  </si>
  <si>
    <t>大貴人9與小貴人9在價格列表／出貨頁的16,800與24,900對應相反</t>
  </si>
  <si>
    <t>報價、毛利與分潤可能錯誤</t>
  </si>
  <si>
    <t>老師書面確認版本、價格與成本</t>
  </si>
  <si>
    <t>DQ-004</t>
  </si>
  <si>
    <t>成本</t>
  </si>
  <si>
    <t>成本欄同時使用50%與60%，部分品項又有明確成本</t>
  </si>
  <si>
    <t>分潤及促銷底價不可計算</t>
  </si>
  <si>
    <t>每個SKU改填實際單位成本；比例只作情境試算</t>
  </si>
  <si>
    <t>2022與202608庫存表</t>
  </si>
  <si>
    <t>DQ-005</t>
  </si>
  <si>
    <t>60分鐘諮詢曾同時出現1,980與1,680</t>
  </si>
  <si>
    <t>對外報價曾不一致</t>
  </si>
  <si>
    <t>[User] 2026-08-09確認正式售價為1,980；1,680標記為舊表錯誤／不採用</t>
  </si>
  <si>
    <t>202608價格列表／出貨總數量／使用者確認</t>
  </si>
  <si>
    <t>已確認</t>
  </si>
  <si>
    <t>DQ-006</t>
  </si>
  <si>
    <t>名稱</t>
  </si>
  <si>
    <t>來源混用希望之光與希望之盒</t>
  </si>
  <si>
    <t>品牌識別、帳號與產品標籤會分裂</t>
  </si>
  <si>
    <t>本版先依使用者指示使用希望之光，待老師核准</t>
  </si>
  <si>
    <t>品牌對談與藍圖</t>
  </si>
  <si>
    <t>DQ-007</t>
  </si>
  <si>
    <t>1號蠟燭出現防護除穢與防詐騙除穢兩種名稱</t>
  </si>
  <si>
    <t>客戶詢問、庫存與內容無法對應</t>
  </si>
  <si>
    <t>選一個正式名稱，另一個保留為別名</t>
  </si>
  <si>
    <t>產品表／品牌文件</t>
  </si>
  <si>
    <t>DQ-008</t>
  </si>
  <si>
    <t>目標</t>
  </si>
  <si>
    <t>蠟燭半年目標在來源中分別為3,000與30,000顆</t>
  </si>
  <si>
    <t>產能、預算與績效獎金差10倍</t>
  </si>
  <si>
    <t>先補近3月銷售、流量、產能、預算，再設定基準／目標／挑戰值</t>
  </si>
  <si>
    <t>品牌策略與對談文件</t>
  </si>
  <si>
    <t>DQ-009</t>
  </si>
  <si>
    <t>來源表以9/1、9/15記錄庫存／出貨，但目前日期為2026-08-09</t>
  </si>
  <si>
    <t>可能是預填模板或日期輸入錯誤</t>
  </si>
  <si>
    <t>逐筆確認是否為預估、未來排程或錯誤日期</t>
  </si>
  <si>
    <t>202608庫存表／簡易版</t>
  </si>
  <si>
    <t>DQ-010</t>
  </si>
  <si>
    <t>庫存</t>
  </si>
  <si>
    <t>庫存表混入銷售、課程人數與數量，且進貨500等數值疑似模板殘留</t>
  </si>
  <si>
    <t>無法得知真實可售庫存</t>
  </si>
  <si>
    <t>現場盤點所有實體SKU並建立一筆期初異動</t>
  </si>
  <si>
    <t>202608商品庫存進出貨總表</t>
  </si>
  <si>
    <t>待盤點</t>
  </si>
  <si>
    <t>DQ-011</t>
  </si>
  <si>
    <t>項鍊在來源表重複3列，沒有規格差異</t>
  </si>
  <si>
    <t>可能重複計算庫存或漏掉三個版本</t>
  </si>
  <si>
    <t>確認是重複列或不同款；本版暫併單一SKU</t>
  </si>
  <si>
    <t>202608庫存表</t>
  </si>
  <si>
    <t>DQ-012</t>
  </si>
  <si>
    <t>客戶資料</t>
  </si>
  <si>
    <t>國外客戶分頁標題為廣潤MEGAWING，交易年份2008-2012，與希望之光關聯不明</t>
  </si>
  <si>
    <t>錯誤匯入會污染CRM並擴大個資使用範圍</t>
  </si>
  <si>
    <t>本版完全不匯入；待確認資料所有權與用途</t>
  </si>
  <si>
    <t>希望之光客戶名單.xlsx</t>
  </si>
  <si>
    <t>DQ-013</t>
  </si>
  <si>
    <t>大小貴人經銷僅4筆有效名稱，多數聯絡欄空白</t>
  </si>
  <si>
    <t>無法直接啟動經銷回訪</t>
  </si>
  <si>
    <t>建立夥伴ID並由老師補齊聯絡與同意狀態</t>
  </si>
  <si>
    <t>DQ-014</t>
  </si>
  <si>
    <t>產品說明</t>
  </si>
  <si>
    <t>產品中英文說明表僅有大貴人、小貴人、頻率蠟燭名稱，其他說明空白</t>
  </si>
  <si>
    <t>無法做商品頁、包裝與跨語言銷售</t>
  </si>
  <si>
    <t>先完成中文核准版，再翻英文／日文</t>
  </si>
  <si>
    <t>產品中英文說明.xlsx</t>
  </si>
  <si>
    <t>DQ-015</t>
  </si>
  <si>
    <t>諧和機手冊包含改善失眠、憂鬱、自律神經、細胞再生等效果語句</t>
  </si>
  <si>
    <t>對外內容有健康／醫療宣稱風險</t>
  </si>
  <si>
    <t>建立安全版生活情境文案；正式上架前由合格法務或法遵審查</t>
  </si>
  <si>
    <t>諧和腦波訓練機使用手冊.pdf</t>
  </si>
  <si>
    <t>待審查</t>
  </si>
  <si>
    <t>DQ-016</t>
  </si>
  <si>
    <t>證據</t>
  </si>
  <si>
    <t>六年、破萬人、上千份個案、800則訊息、37支影片等數字尚無原始清單或後台匯出</t>
  </si>
  <si>
    <t>不能作為確定KPI基準或公開證明</t>
  </si>
  <si>
    <t>取得可核對截圖／匯出檔並記錄統計口徑</t>
  </si>
  <si>
    <t>品牌文件與藍圖</t>
  </si>
  <si>
    <t>待補證據</t>
  </si>
  <si>
    <t>DQ-017</t>
  </si>
  <si>
    <t>37支影片缺少逐支觀看、留言、私訊、LINE新增與成交資料</t>
  </si>
  <si>
    <t>無法知道哪些題材真正有效</t>
  </si>
  <si>
    <t>補內容ID並回填平台數據與可歸因轉換</t>
  </si>
  <si>
    <t>品牌對談文件</t>
  </si>
  <si>
    <t>DQ-018</t>
  </si>
  <si>
    <t>規格</t>
  </si>
  <si>
    <t>大小貴人筆記包含369、528、7.83與水晶等說法，但未有正式頻道表與操作規格</t>
  </si>
  <si>
    <t>產品介紹容易前後矛盾或過度科學化</t>
  </si>
  <si>
    <t>由老師逐頻道核准名稱、場景、用法與禁忌</t>
  </si>
  <si>
    <t>大小貴人.docx</t>
  </si>
  <si>
    <t>來源檔採用／隔離紀錄</t>
  </si>
  <si>
    <t>來源檔</t>
  </si>
  <si>
    <t>用途</t>
  </si>
  <si>
    <t>處理</t>
  </si>
  <si>
    <t>說明</t>
  </si>
  <si>
    <t>舊庫存模板</t>
  </si>
  <si>
    <t>隔離</t>
  </si>
  <si>
    <t>GreenBrown／餐具舊資料；只參考交易明細化概念</t>
  </si>
  <si>
    <t>626102658318729354_諧和腦波訓練機使用手冊.pdf</t>
  </si>
  <si>
    <t>產品手冊</t>
  </si>
  <si>
    <t>部分採用</t>
  </si>
  <si>
    <t>擷取到15頻道與操作概念；醫療性文字不直接沿用</t>
  </si>
  <si>
    <t>Brand_Co-creation_Blueprint.pdf</t>
  </si>
  <si>
    <t>品牌共創簡報</t>
  </si>
  <si>
    <t>採用</t>
  </si>
  <si>
    <t>15頁圖片型PDF；逐頁目視核對現況、90天與交付架構</t>
  </si>
  <si>
    <t>Illuminating_the_Brand_Blueprint.pdf</t>
  </si>
  <si>
    <t>品牌策略簡報</t>
  </si>
  <si>
    <t>12頁圖片型PDF；逐頁目視核對雙帳號、內容比例與漏斗</t>
  </si>
  <si>
    <t>產品訪談筆記</t>
  </si>
  <si>
    <t>作為待訪談線索，不把頻率與效果當既定事實</t>
  </si>
  <si>
    <t>客戶／夥伴來源</t>
  </si>
  <si>
    <t>4筆經銷夥伴候選匯入；MEGAWING國外舊客完全隔離</t>
  </si>
  <si>
    <t>現行產品／價格／庫存</t>
  </si>
  <si>
    <t>產品與候選價格採用；錯誤公式與庫存數字不採用</t>
  </si>
  <si>
    <t>希望之光產品庫存表_簡易版本.xls</t>
  </si>
  <si>
    <t>交易明細嘗試</t>
  </si>
  <si>
    <t>辨識到一筆未來日期候選紀錄；不匯入正式帳</t>
  </si>
  <si>
    <t>希望之光產品清冊_202608.xlsx</t>
  </si>
  <si>
    <t>物流規格</t>
  </si>
  <si>
    <t>採用大小貴人與蠟燭尺寸／包裝候選值，仍待核准</t>
  </si>
  <si>
    <t>品牌規劃整理師.docx</t>
  </si>
  <si>
    <t>規劃者角色與提案語言</t>
  </si>
  <si>
    <t>用於品牌總導演、翻譯、整理、陪伴的角色定義</t>
  </si>
  <si>
    <t>品牌策略與營運執行藍圖.docx</t>
  </si>
  <si>
    <t>策略總綱</t>
  </si>
  <si>
    <t>產品矩陣、CRM、雙帳號、90天與KPI主要來源</t>
  </si>
  <si>
    <t>珈語討論結果20260806.docx</t>
  </si>
  <si>
    <t>老師需求與現況對談</t>
  </si>
  <si>
    <t>收入、資產、客群、流程與品牌語言的主要事實來源</t>
  </si>
  <si>
    <t>多語產品表</t>
  </si>
  <si>
    <t>現況幾乎空白；保留欄位需求，不把空白視為完成</t>
  </si>
  <si>
    <t>腦波品牌規劃.docx</t>
  </si>
  <si>
    <t>長篇策略推演</t>
  </si>
  <si>
    <t>現況診斷、訪談問題、內容、飛輪與KPI來源</t>
  </si>
  <si>
    <t>NotebookLM Mind Map (1).png</t>
  </si>
  <si>
    <t>心智圖</t>
  </si>
  <si>
    <t>與第2張相同；核對核心定位、90天、商業路徑與角色</t>
  </si>
  <si>
    <t>NotebookLM Mind Map (2).png</t>
  </si>
  <si>
    <t>重複</t>
  </si>
  <si>
    <t>內容與第1張相同，不重複計入</t>
  </si>
  <si>
    <t>SKU_LIST</t>
  </si>
  <si>
    <t>INV_TYPE_LIST</t>
  </si>
  <si>
    <t>贈品</t>
  </si>
  <si>
    <t>樣品</t>
  </si>
  <si>
    <t>YES_NO_UNKNOWN</t>
  </si>
  <si>
    <t>GENERAL_STATUS</t>
  </si>
  <si>
    <t>進行中</t>
  </si>
  <si>
    <t>待老師</t>
  </si>
  <si>
    <t>待資料</t>
  </si>
  <si>
    <t>待核准</t>
  </si>
  <si>
    <t>已停止</t>
  </si>
  <si>
    <t>CUSTOMER_TYPE</t>
  </si>
  <si>
    <t>潛在客</t>
  </si>
  <si>
    <t>一般客戶</t>
  </si>
  <si>
    <t>學生</t>
  </si>
  <si>
    <t>轉介紹人</t>
  </si>
  <si>
    <t>其他</t>
  </si>
  <si>
    <t>CRM_STATUS</t>
  </si>
  <si>
    <t>新名單</t>
  </si>
  <si>
    <t>培養中</t>
  </si>
  <si>
    <t>已成交</t>
  </si>
  <si>
    <t>持續服務</t>
  </si>
  <si>
    <t>沉睡</t>
  </si>
  <si>
    <t>不聯絡</t>
  </si>
  <si>
    <t>CHANNEL_LIST</t>
  </si>
  <si>
    <t>IG主帳</t>
  </si>
  <si>
    <t>IG Moment</t>
  </si>
  <si>
    <t>FB</t>
  </si>
  <si>
    <t>官方LINE</t>
  </si>
  <si>
    <t>網站</t>
  </si>
  <si>
    <t>轉介紹</t>
  </si>
  <si>
    <t>現場</t>
  </si>
  <si>
    <t>舊客回流</t>
  </si>
  <si>
    <t>FIVE_DIM_LIST</t>
  </si>
  <si>
    <t>事</t>
  </si>
  <si>
    <t>財</t>
  </si>
  <si>
    <t>情</t>
  </si>
  <si>
    <t>家</t>
  </si>
  <si>
    <t>體</t>
  </si>
  <si>
    <t>多重</t>
  </si>
  <si>
    <t>PAYMENT_STATUS</t>
  </si>
  <si>
    <t>未請款</t>
  </si>
  <si>
    <t>待付款</t>
  </si>
  <si>
    <t>部分付款</t>
  </si>
  <si>
    <t>已付款</t>
  </si>
  <si>
    <t>退款中</t>
  </si>
  <si>
    <t>已退款</t>
  </si>
  <si>
    <t>取消</t>
  </si>
  <si>
    <t>FULFILL_STATUS</t>
  </si>
  <si>
    <t>待出貨</t>
  </si>
  <si>
    <t>已出貨</t>
  </si>
  <si>
    <t>退換處理</t>
  </si>
  <si>
    <t>RISK_LEVEL</t>
  </si>
  <si>
    <t>CONTENT_STATUS</t>
  </si>
  <si>
    <t>待訪談</t>
  </si>
  <si>
    <t>待腳本</t>
  </si>
  <si>
    <t>待拍攝</t>
  </si>
  <si>
    <t>已排程</t>
  </si>
  <si>
    <t>已發布</t>
  </si>
  <si>
    <t>停止</t>
  </si>
  <si>
    <t>CONTENT_TYPE</t>
  </si>
  <si>
    <t>FUNNEL_STAGE</t>
  </si>
  <si>
    <t>已回覆</t>
  </si>
  <si>
    <t>有效對話</t>
  </si>
  <si>
    <t>已加LINE</t>
  </si>
  <si>
    <t>回購</t>
  </si>
  <si>
    <t>暫緩</t>
  </si>
  <si>
    <t>流失</t>
  </si>
  <si>
    <t>CONSENT_STATUS</t>
  </si>
  <si>
    <t>不同意</t>
  </si>
  <si>
    <t>僅內部</t>
  </si>
  <si>
    <t>匿名公開</t>
  </si>
  <si>
    <t>具名公開</t>
  </si>
  <si>
    <t>已撤回</t>
  </si>
  <si>
    <t>PRIVACY_LEVEL</t>
  </si>
  <si>
    <t>一般</t>
  </si>
  <si>
    <t>內部</t>
  </si>
  <si>
    <t>敏感</t>
  </si>
  <si>
    <t>高度敏感</t>
  </si>
  <si>
    <t>OWNER_LIST</t>
  </si>
  <si>
    <t>品牌規劃者</t>
  </si>
  <si>
    <t>客服</t>
  </si>
  <si>
    <t>出貨</t>
  </si>
  <si>
    <t>待指派</t>
  </si>
  <si>
    <t>PLATFORM_LIST</t>
  </si>
  <si>
    <t>Instagram</t>
  </si>
  <si>
    <t>Facebook</t>
  </si>
  <si>
    <t>YouTube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</si>
</sst>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%"/>
    <numFmt numFmtId="177" formatCode="yyyy\-mm\-dd"/>
  </numFmts>
  <fonts count="9">
    <font>
      <sz val="11"/>
      <color theme="1"/>
      <name val="新細明體"/>
      <family val="2"/>
      <scheme val="minor"/>
    </font>
    <font>
      <b/>
      <sz val="20"/>
      <color rgb="FFFFFFFF"/>
      <name val="Microsoft JhengHei"/>
      <family val="2"/>
    </font>
    <font>
      <sz val="10"/>
      <color rgb="FF6B7785"/>
      <name val="Microsoft JhengHei"/>
      <family val="2"/>
    </font>
    <font>
      <b/>
      <sz val="12"/>
      <color rgb="FFFFFFFF"/>
      <name val="Microsoft JhengHei"/>
      <family val="2"/>
    </font>
    <font>
      <sz val="10"/>
      <color rgb="FF25313C"/>
      <name val="Microsoft JhengHei"/>
      <family val="2"/>
    </font>
    <font>
      <b/>
      <sz val="10"/>
      <color rgb="FFFFFFFF"/>
      <name val="Microsoft JhengHei"/>
      <family val="2"/>
    </font>
    <font>
      <sz val="10"/>
      <color theme="1"/>
      <name val="Microsoft JhengHei"/>
      <family val="2"/>
    </font>
    <font>
      <b/>
      <sz val="18"/>
      <color rgb="FF16253D"/>
      <name val="Microsoft JhengHei"/>
      <family val="2"/>
    </font>
    <font>
      <sz val="9"/>
      <name val="新細明體"/>
      <family val="3"/>
      <charset val="136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6253D"/>
        <bgColor indexed="64"/>
      </patternFill>
    </fill>
    <fill>
      <patternFill patternType="solid">
        <fgColor rgb="FF243B5A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F4E9CD"/>
        <bgColor indexed="64"/>
      </patternFill>
    </fill>
    <fill>
      <patternFill patternType="solid">
        <fgColor rgb="FFEAF1F8"/>
        <bgColor indexed="64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3A647"/>
      </left>
      <right style="thin">
        <color rgb="FFD3A647"/>
      </right>
      <top style="thin">
        <color rgb="FFD3A647"/>
      </top>
      <bottom style="thin">
        <color rgb="FFD3A647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4" fillId="0" borderId="0" xfId="0" applyFont="1" applyAlignment="1">
      <alignment vertical="top" wrapText="1"/>
    </xf>
    <xf numFmtId="0" fontId="4" fillId="4" borderId="1" xfId="0" applyFont="1" applyFill="1" applyBorder="1"/>
    <xf numFmtId="0" fontId="5" fillId="3" borderId="2" xfId="0" applyFont="1" applyFill="1" applyBorder="1" applyAlignment="1">
      <alignment horizontal="center" vertical="center"/>
    </xf>
    <xf numFmtId="176" fontId="6" fillId="0" borderId="0" xfId="0" applyNumberFormat="1" applyFont="1"/>
    <xf numFmtId="0" fontId="7" fillId="5" borderId="3" xfId="0" applyFont="1" applyFill="1" applyBorder="1" applyAlignment="1">
      <alignment horizontal="center" vertical="center"/>
    </xf>
    <xf numFmtId="38" fontId="6" fillId="0" borderId="0" xfId="0" applyNumberFormat="1" applyFont="1"/>
    <xf numFmtId="0" fontId="4" fillId="6" borderId="1" xfId="0" applyFont="1" applyFill="1" applyBorder="1"/>
    <xf numFmtId="177" fontId="6" fillId="0" borderId="0" xfId="0" applyNumberFormat="1" applyFont="1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vertical="top" wrapText="1"/>
    </xf>
    <xf numFmtId="0" fontId="3" fillId="3" borderId="0" xfId="0" applyFont="1" applyFill="1" applyAlignment="1">
      <alignment horizontal="left" vertical="center"/>
    </xf>
    <xf numFmtId="0" fontId="4" fillId="0" borderId="0" xfId="0" applyFont="1" applyAlignment="1">
      <alignment vertical="top" wrapText="1"/>
    </xf>
    <xf numFmtId="0" fontId="5" fillId="3" borderId="2" xfId="0" applyFont="1" applyFill="1" applyBorder="1" applyAlignment="1">
      <alignment horizontal="center" vertical="center"/>
    </xf>
    <xf numFmtId="176" fontId="6" fillId="0" borderId="0" xfId="0" applyNumberFormat="1" applyFont="1"/>
    <xf numFmtId="0" fontId="7" fillId="5" borderId="3" xfId="0" applyFont="1" applyFill="1" applyBorder="1" applyAlignment="1">
      <alignment horizontal="center" vertical="center"/>
    </xf>
    <xf numFmtId="38" fontId="6" fillId="0" borderId="0" xfId="0" applyNumberFormat="1" applyFont="1"/>
  </cellXfs>
  <cellStyles count="1">
    <cellStyle name="一般" xfId="0" builtinId="0"/>
  </cellStyles>
  <dxfs count="17">
    <dxf>
      <font>
        <b/>
        <color rgb="FFB33A3A"/>
      </font>
      <fill>
        <patternFill>
          <bgColor rgb="FFFCE8E6"/>
        </patternFill>
      </fill>
    </dxf>
    <dxf>
      <fill>
        <patternFill>
          <bgColor rgb="FFFFF4CC"/>
        </patternFill>
      </fill>
    </dxf>
    <dxf>
      <fill>
        <patternFill>
          <bgColor rgb="FFFCE8E6"/>
        </patternFill>
      </fill>
    </dxf>
    <dxf>
      <font>
        <color rgb="FFB33A3A"/>
      </font>
      <fill>
        <patternFill>
          <bgColor rgb="FFFCE8E6"/>
        </patternFill>
      </fill>
    </dxf>
    <dxf>
      <font>
        <color rgb="FFB33A3A"/>
      </font>
      <fill>
        <patternFill>
          <bgColor rgb="FFFCE8E6"/>
        </patternFill>
      </fill>
    </dxf>
    <dxf>
      <font>
        <color rgb="FFB33A3A"/>
      </font>
      <fill>
        <patternFill>
          <bgColor rgb="FFFCE8E6"/>
        </patternFill>
      </fill>
    </dxf>
    <dxf>
      <fill>
        <patternFill>
          <bgColor rgb="FFFFF4CC"/>
        </patternFill>
      </fill>
    </dxf>
    <dxf>
      <fill>
        <patternFill>
          <bgColor rgb="FFEAF1F8"/>
        </patternFill>
      </fill>
    </dxf>
    <dxf>
      <fill>
        <patternFill>
          <bgColor rgb="FFFFF4CC"/>
        </patternFill>
      </fill>
    </dxf>
    <dxf>
      <font>
        <b/>
        <color rgb="FFB33A3A"/>
      </font>
      <fill>
        <patternFill>
          <bgColor rgb="FFFCE8E6"/>
        </patternFill>
      </fill>
    </dxf>
    <dxf>
      <fill>
        <patternFill>
          <bgColor rgb="FFFCE8E6"/>
        </patternFill>
      </fill>
    </dxf>
    <dxf>
      <fill>
        <patternFill>
          <bgColor rgb="FFFFF4CC"/>
        </patternFill>
      </fill>
    </dxf>
    <dxf>
      <font>
        <b/>
        <color rgb="FFB33A3A"/>
      </font>
      <fill>
        <patternFill>
          <bgColor rgb="FFFCE8E6"/>
        </patternFill>
      </fill>
    </dxf>
    <dxf>
      <fill>
        <patternFill>
          <bgColor rgb="FFFFF4CC"/>
        </patternFill>
      </fill>
    </dxf>
    <dxf>
      <font>
        <color rgb="FFB33A3A"/>
      </font>
      <fill>
        <patternFill>
          <bgColor rgb="FFFCE8E6"/>
        </patternFill>
      </fill>
    </dxf>
    <dxf>
      <fill>
        <patternFill>
          <bgColor rgb="FFFFF4CC"/>
        </patternFill>
      </fill>
    </dxf>
    <dxf>
      <font>
        <color rgb="FF2E7D5B"/>
      </font>
      <fill>
        <patternFill>
          <bgColor rgb="FFE8F3EB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Roadmap" displayName="tblRoadmap" ref="A4:N43" totalsRowShown="0">
  <autoFilter ref="A4:N43" xr:uid="{00000000-0009-0000-0100-000001000000}"/>
  <tableColumns count="14">
    <tableColumn id="1" xr3:uid="{00000000-0010-0000-0000-000001000000}" name="階段"/>
    <tableColumn id="2" xr3:uid="{00000000-0010-0000-0000-000002000000}" name="週次"/>
    <tableColumn id="3" xr3:uid="{00000000-0010-0000-0000-000003000000}" name="日程"/>
    <tableColumn id="4" xr3:uid="{00000000-0010-0000-0000-000004000000}" name="主題"/>
    <tableColumn id="5" xr3:uid="{00000000-0010-0000-0000-000005000000}" name="任務"/>
    <tableColumn id="6" xr3:uid="{00000000-0010-0000-0000-000006000000}" name="交付物"/>
    <tableColumn id="7" xr3:uid="{00000000-0010-0000-0000-000007000000}" name="KPI／驗收標準"/>
    <tableColumn id="8" xr3:uid="{00000000-0010-0000-0000-000008000000}" name="老師投入"/>
    <tableColumn id="9" xr3:uid="{00000000-0010-0000-0000-000009000000}" name="品牌規劃者產出"/>
    <tableColumn id="10" xr3:uid="{00000000-0010-0000-0000-00000A000000}" name="負責"/>
    <tableColumn id="11" xr3:uid="{00000000-0010-0000-0000-00000B000000}" name="依賴"/>
    <tableColumn id="12" xr3:uid="{00000000-0010-0000-0000-00000C000000}" name="狀態"/>
    <tableColumn id="13" xr3:uid="{00000000-0010-0000-0000-00000D000000}" name="目標日期"/>
    <tableColumn id="14" xr3:uid="{00000000-0010-0000-0000-00000E000000}" name="證據／連結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Products" displayName="tblProducts" ref="A4:Q27" totalsRowShown="0">
  <autoFilter ref="A4:Q27" xr:uid="{00000000-0009-0000-0100-000002000000}"/>
  <tableColumns count="17">
    <tableColumn id="1" xr3:uid="{00000000-0010-0000-0100-000001000000}" name="SKU"/>
    <tableColumn id="2" xr3:uid="{00000000-0010-0000-0100-000002000000}" name="產品類別"/>
    <tableColumn id="3" xr3:uid="{00000000-0010-0000-0100-000003000000}" name="正式名稱"/>
    <tableColumn id="4" xr3:uid="{00000000-0010-0000-0100-000004000000}" name="別名"/>
    <tableColumn id="5" xr3:uid="{00000000-0010-0000-0100-000005000000}" name="商業角色"/>
    <tableColumn id="6" xr3:uid="{00000000-0010-0000-0100-000006000000}" name="銷售狀態"/>
    <tableColumn id="7" xr3:uid="{00000000-0010-0000-0100-000007000000}" name="建議售價"/>
    <tableColumn id="8" xr3:uid="{00000000-0010-0000-0100-000008000000}" name="批發價"/>
    <tableColumn id="9" xr3:uid="{00000000-0010-0000-0100-000009000000}" name="單位成本"/>
    <tableColumn id="10" xr3:uid="{00000000-0010-0000-0100-00000A000000}" name="單件毛利">
      <calculatedColumnFormula>IF(OR(tblProducts[[#This Row],[建議售價]]="",tblProducts[[#This Row],[單位成本]]=""),"",tblProducts[[#This Row],[建議售價]]-tblProducts[[#This Row],[單位成本]])</calculatedColumnFormula>
    </tableColumn>
    <tableColumn id="11" xr3:uid="{00000000-0010-0000-0100-00000B000000}" name="毛利率">
      <calculatedColumnFormula>IFERROR(tblProducts[[#This Row],[單件毛利]]/tblProducts[[#This Row],[建議售價]],"")</calculatedColumnFormula>
    </tableColumn>
    <tableColumn id="12" xr3:uid="{00000000-0010-0000-0100-00000C000000}" name="單位"/>
    <tableColumn id="13" xr3:uid="{00000000-0010-0000-0100-00000D000000}" name="庫存管理"/>
    <tableColumn id="14" xr3:uid="{00000000-0010-0000-0100-00000E000000}" name="補貨點"/>
    <tableColumn id="15" xr3:uid="{00000000-0010-0000-0100-00000F000000}" name="來源依據"/>
    <tableColumn id="16" xr3:uid="{00000000-0010-0000-0100-000010000000}" name="內容核准"/>
    <tableColumn id="17" xr3:uid="{00000000-0010-0000-0100-000011000000}" name="備註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ProductCopy" displayName="tblProductCopy" ref="A4:K27" totalsRowShown="0">
  <autoFilter ref="A4:K27" xr:uid="{00000000-0009-0000-0100-000003000000}"/>
  <tableColumns count="11">
    <tableColumn id="1" xr3:uid="{00000000-0010-0000-0200-000001000000}" name="SKU"/>
    <tableColumn id="2" xr3:uid="{00000000-0010-0000-0200-000002000000}" name="對外名稱"/>
    <tableColumn id="3" xr3:uid="{00000000-0010-0000-0200-000003000000}" name="客戶得到什麼"/>
    <tableColumn id="4" xr3:uid="{00000000-0010-0000-0200-000004000000}" name="使用情境"/>
    <tableColumn id="5" xr3:uid="{00000000-0010-0000-0200-000005000000}" name="獨特機制／事實邊界"/>
    <tableColumn id="6" xr3:uid="{00000000-0010-0000-0200-000006000000}" name="安全版一句話"/>
    <tableColumn id="7" xr3:uid="{00000000-0010-0000-0200-000007000000}" name="CTA"/>
    <tableColumn id="8" xr3:uid="{00000000-0010-0000-0200-000008000000}" name="仍需的證據"/>
    <tableColumn id="9" xr3:uid="{00000000-0010-0000-0200-000009000000}" name="規格候選"/>
    <tableColumn id="10" xr3:uid="{00000000-0010-0000-0200-00000A000000}" name="宣稱風險"/>
    <tableColumn id="11" xr3:uid="{00000000-0010-0000-0200-00000B000000}" name="審核狀態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Inventory" displayName="tblInventory" ref="A4:L304" totalsRowShown="0">
  <autoFilter ref="A4:L304" xr:uid="{00000000-0009-0000-0100-000004000000}"/>
  <tableColumns count="12">
    <tableColumn id="1" xr3:uid="{00000000-0010-0000-0300-000001000000}" name="異動ID"/>
    <tableColumn id="2" xr3:uid="{00000000-0010-0000-0300-000002000000}" name="日期"/>
    <tableColumn id="3" xr3:uid="{00000000-0010-0000-0300-000003000000}" name="SKU"/>
    <tableColumn id="4" xr3:uid="{00000000-0010-0000-0300-000004000000}" name="產品名稱">
      <calculatedColumnFormula>IFERROR(INDEX(tblProducts[正式名稱],MATCH(tblInventory[[#This Row],[SKU]],tblProducts[SKU],0)),"")</calculatedColumnFormula>
    </tableColumn>
    <tableColumn id="5" xr3:uid="{00000000-0010-0000-0300-000005000000}" name="異動類型"/>
    <tableColumn id="6" xr3:uid="{00000000-0010-0000-0300-000006000000}" name="數量"/>
    <tableColumn id="7" xr3:uid="{00000000-0010-0000-0300-000007000000}" name="單位成本">
      <calculatedColumnFormula>IFERROR(INDEX(tblProducts[單位成本],MATCH(tblInventory[[#This Row],[SKU]],tblProducts[SKU],0)),"")</calculatedColumnFormula>
    </tableColumn>
    <tableColumn id="8" xr3:uid="{00000000-0010-0000-0300-000008000000}" name="金額">
      <calculatedColumnFormula>IF(OR(tblInventory[[#This Row],[數量]]="",tblInventory[[#This Row],[單位成本]]=""),"",tblInventory[[#This Row],[數量]]*tblInventory[[#This Row],[單位成本]])</calculatedColumnFormula>
    </tableColumn>
    <tableColumn id="9" xr3:uid="{00000000-0010-0000-0300-000009000000}" name="關聯單號"/>
    <tableColumn id="10" xr3:uid="{00000000-0010-0000-0300-00000A000000}" name="對象／供應商"/>
    <tableColumn id="11" xr3:uid="{00000000-0010-0000-0300-00000B000000}" name="經手人"/>
    <tableColumn id="12" xr3:uid="{00000000-0010-0000-0300-00000C000000}" name="備註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Stock" displayName="tblStock" ref="A4:P23" totalsRowShown="0">
  <autoFilter ref="A4:P23" xr:uid="{00000000-0009-0000-0100-000005000000}"/>
  <tableColumns count="16">
    <tableColumn id="1" xr3:uid="{00000000-0010-0000-0400-000001000000}" name="SKU"/>
    <tableColumn id="2" xr3:uid="{00000000-0010-0000-0400-000002000000}" name="產品名稱"/>
    <tableColumn id="3" xr3:uid="{00000000-0010-0000-0400-000003000000}" name="單位成本"/>
    <tableColumn id="4" xr3:uid="{00000000-0010-0000-0400-000004000000}" name="補貨點"/>
    <tableColumn id="5" xr3:uid="{00000000-0010-0000-0400-000005000000}" name="期初">
      <calculatedColumnFormula>SUMIFS(tblInventory[數量],tblInventory[SKU],tblStock[[#This Row],[SKU]],tblInventory[異動類型],"期初")</calculatedColumnFormula>
    </tableColumn>
    <tableColumn id="6" xr3:uid="{00000000-0010-0000-0400-000006000000}" name="進貨">
      <calculatedColumnFormula>SUMIFS(tblInventory[數量],tblInventory[SKU],tblStock[[#This Row],[SKU]],tblInventory[異動類型],"進貨")</calculatedColumnFormula>
    </tableColumn>
    <tableColumn id="7" xr3:uid="{00000000-0010-0000-0400-000007000000}" name="退貨入庫">
      <calculatedColumnFormula>SUMIFS(tblInventory[數量],tblInventory[SKU],tblStock[[#This Row],[SKU]],tblInventory[異動類型],"退貨入庫")</calculatedColumnFormula>
    </tableColumn>
    <tableColumn id="8" xr3:uid="{00000000-0010-0000-0400-000008000000}" name="盤盈">
      <calculatedColumnFormula>SUMIFS(tblInventory[數量],tblInventory[SKU],tblStock[[#This Row],[SKU]],tblInventory[異動類型],"盤盈")</calculatedColumnFormula>
    </tableColumn>
    <tableColumn id="9" xr3:uid="{00000000-0010-0000-0400-000009000000}" name="銷售">
      <calculatedColumnFormula>SUMIFS(tblInventory[數量],tblInventory[SKU],tblStock[[#This Row],[SKU]],tblInventory[異動類型],"銷售")</calculatedColumnFormula>
    </tableColumn>
    <tableColumn id="10" xr3:uid="{00000000-0010-0000-0400-00000A000000}" name="退貨出庫">
      <calculatedColumnFormula>SUMIFS(tblInventory[數量],tblInventory[SKU],tblStock[[#This Row],[SKU]],tblInventory[異動類型],"退貨出庫")</calculatedColumnFormula>
    </tableColumn>
    <tableColumn id="11" xr3:uid="{00000000-0010-0000-0400-00000B000000}" name="贈品／樣品">
      <calculatedColumnFormula>SUMIFS(tblInventory[數量],tblInventory[SKU],tblStock[[#This Row],[SKU]],tblInventory[異動類型],"贈品")+SUMIFS(tblInventory[數量],tblInventory[SKU],tblStock[[#This Row],[SKU]],tblInventory[異動類型],"樣品")</calculatedColumnFormula>
    </tableColumn>
    <tableColumn id="12" xr3:uid="{00000000-0010-0000-0400-00000C000000}" name="盤虧">
      <calculatedColumnFormula>SUMIFS(tblInventory[數量],tblInventory[SKU],tblStock[[#This Row],[SKU]],tblInventory[異動類型],"盤虧")</calculatedColumnFormula>
    </tableColumn>
    <tableColumn id="13" xr3:uid="{00000000-0010-0000-0400-00000D000000}" name="即時庫存">
      <calculatedColumnFormula>tblStock[[#This Row],[期初]]+tblStock[[#This Row],[進貨]]+tblStock[[#This Row],[退貨入庫]]+tblStock[[#This Row],[盤盈]]-tblStock[[#This Row],[銷售]]-tblStock[[#This Row],[退貨出庫]]-tblStock[[#This Row],[贈品／樣品]]-tblStock[[#This Row],[盤虧]]</calculatedColumnFormula>
    </tableColumn>
    <tableColumn id="14" xr3:uid="{00000000-0010-0000-0400-00000E000000}" name="庫存成本">
      <calculatedColumnFormula>IF(tblStock[[#This Row],[單位成本]]="","",tblStock[[#This Row],[即時庫存]]*tblStock[[#This Row],[單位成本]])</calculatedColumnFormula>
    </tableColumn>
    <tableColumn id="15" xr3:uid="{00000000-0010-0000-0400-00000F000000}" name="狀態">
      <calculatedColumnFormula>IF(COUNTIF(tblInventory[SKU],tblStock[[#This Row],[SKU]])=0,"待建立期初",IF(tblStock[[#This Row],[即時庫存]]&lt;0,"負庫存",IF(tblStock[[#This Row],[即時庫存]]&lt;=tblStock[[#This Row],[補貨點]],"補貨提醒","正常")))</calculatedColumnFormula>
    </tableColumn>
    <tableColumn id="16" xr3:uid="{00000000-0010-0000-0400-000010000000}" name="最後異動">
      <calculatedColumnFormula>IFERROR(_xlfn.MAXIFS(tblInventory[日期],tblInventory[SKU],tblStock[[#This Row],[SKU]]),"")</calculatedColumnFormula>
    </tableColumn>
  </tableColumns>
  <tableStyleInfo name="TableStyleMedium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Sales" displayName="tblSales" ref="A4:T304" totalsRowShown="0">
  <autoFilter ref="A4:T304" xr:uid="{00000000-0009-0000-0100-000006000000}"/>
  <tableColumns count="20">
    <tableColumn id="1" xr3:uid="{00000000-0010-0000-0500-000001000000}" name="訂單ID"/>
    <tableColumn id="2" xr3:uid="{00000000-0010-0000-0500-000002000000}" name="訂單日期"/>
    <tableColumn id="3" xr3:uid="{00000000-0010-0000-0500-000003000000}" name="客戶ID"/>
    <tableColumn id="4" xr3:uid="{00000000-0010-0000-0500-000004000000}" name="客戶名稱">
      <calculatedColumnFormula>IFERROR(INDEX(tblCRM[姓名／稱呼],MATCH(tblSales[[#This Row],[客戶ID]],tblCRM[客戶ID],0)),"")</calculatedColumnFormula>
    </tableColumn>
    <tableColumn id="5" xr3:uid="{00000000-0010-0000-0500-000005000000}" name="通路"/>
    <tableColumn id="6" xr3:uid="{00000000-0010-0000-0500-000006000000}" name="來源內容ID"/>
    <tableColumn id="7" xr3:uid="{00000000-0010-0000-0500-000007000000}" name="SKU"/>
    <tableColumn id="8" xr3:uid="{00000000-0010-0000-0500-000008000000}" name="產品名稱">
      <calculatedColumnFormula>IFERROR(INDEX(tblProducts[正式名稱],MATCH(tblSales[[#This Row],[SKU]],tblProducts[SKU],0)),"")</calculatedColumnFormula>
    </tableColumn>
    <tableColumn id="9" xr3:uid="{00000000-0010-0000-0500-000009000000}" name="數量"/>
    <tableColumn id="10" xr3:uid="{00000000-0010-0000-0500-00000A000000}" name="單價">
      <calculatedColumnFormula>IFERROR(INDEX(tblProducts[建議售價],MATCH(tblSales[[#This Row],[SKU]],tblProducts[SKU],0)),"")</calculatedColumnFormula>
    </tableColumn>
    <tableColumn id="11" xr3:uid="{00000000-0010-0000-0500-00000B000000}" name="折扣"/>
    <tableColumn id="12" xr3:uid="{00000000-0010-0000-0500-00000C000000}" name="運費"/>
    <tableColumn id="13" xr3:uid="{00000000-0010-0000-0500-00000D000000}" name="應收金額">
      <calculatedColumnFormula>IF(OR(tblSales[[#This Row],[數量]]="",tblSales[[#This Row],[單價]]=""),"",tblSales[[#This Row],[數量]]*tblSales[[#This Row],[單價]]-N(tblSales[[#This Row],[折扣]])+N(tblSales[[#This Row],[運費]]))</calculatedColumnFormula>
    </tableColumn>
    <tableColumn id="14" xr3:uid="{00000000-0010-0000-0500-00000E000000}" name="實收金額"/>
    <tableColumn id="15" xr3:uid="{00000000-0010-0000-0500-00000F000000}" name="付款狀態"/>
    <tableColumn id="16" xr3:uid="{00000000-0010-0000-0500-000010000000}" name="履約狀態"/>
    <tableColumn id="17" xr3:uid="{00000000-0010-0000-0500-000011000000}" name="物流單號"/>
    <tableColumn id="18" xr3:uid="{00000000-0010-0000-0500-000012000000}" name="下次回訪日"/>
    <tableColumn id="19" xr3:uid="{00000000-0010-0000-0500-000013000000}" name="負責人"/>
    <tableColumn id="20" xr3:uid="{00000000-0010-0000-0500-000014000000}" name="備註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CRM" displayName="tblCRM" ref="A4:AB304" totalsRowShown="0">
  <autoFilter ref="A4:AB304" xr:uid="{00000000-0009-0000-0100-000007000000}"/>
  <tableColumns count="28">
    <tableColumn id="1" xr3:uid="{00000000-0010-0000-0600-000001000000}" name="客戶ID"/>
    <tableColumn id="2" xr3:uid="{00000000-0010-0000-0600-000002000000}" name="姓名／稱呼"/>
    <tableColumn id="3" xr3:uid="{00000000-0010-0000-0600-000003000000}" name="客戶類型"/>
    <tableColumn id="4" xr3:uid="{00000000-0010-0000-0600-000004000000}" name="狀態"/>
    <tableColumn id="5" xr3:uid="{00000000-0010-0000-0600-000005000000}" name="電話"/>
    <tableColumn id="6" xr3:uid="{00000000-0010-0000-0600-000006000000}" name="LINE"/>
    <tableColumn id="7" xr3:uid="{00000000-0010-0000-0600-000007000000}" name="Email"/>
    <tableColumn id="8" xr3:uid="{00000000-0010-0000-0600-000008000000}" name="IG"/>
    <tableColumn id="9" xr3:uid="{00000000-0010-0000-0600-000009000000}" name="縣市／國家"/>
    <tableColumn id="10" xr3:uid="{00000000-0010-0000-0600-00000A000000}" name="生日"/>
    <tableColumn id="11" xr3:uid="{00000000-0010-0000-0600-00000B000000}" name="性別"/>
    <tableColumn id="12" xr3:uid="{00000000-0010-0000-0600-00000C000000}" name="年齡區間"/>
    <tableColumn id="13" xr3:uid="{00000000-0010-0000-0600-00000D000000}" name="首次來源內容ID"/>
    <tableColumn id="14" xr3:uid="{00000000-0010-0000-0600-00000E000000}" name="首次來源"/>
    <tableColumn id="15" xr3:uid="{00000000-0010-0000-0600-00000F000000}" name="首次接觸日"/>
    <tableColumn id="16" xr3:uid="{00000000-0010-0000-0600-000010000000}" name="主要困擾"/>
    <tableColumn id="17" xr3:uid="{00000000-0010-0000-0600-000011000000}" name="事財情家體"/>
    <tableColumn id="18" xr3:uid="{00000000-0010-0000-0600-000012000000}" name="需求標籤"/>
    <tableColumn id="19" xr3:uid="{00000000-0010-0000-0600-000013000000}" name="身份／專長"/>
    <tableColumn id="20" xr3:uid="{00000000-0010-0000-0600-000014000000}" name="曾購產品"/>
    <tableColumn id="21" xr3:uid="{00000000-0010-0000-0600-000015000000}" name="最近服務"/>
    <tableColumn id="22" xr3:uid="{00000000-0010-0000-0600-000016000000}" name="最近聯絡日"/>
    <tableColumn id="23" xr3:uid="{00000000-0010-0000-0600-000017000000}" name="下次回訪日"/>
    <tableColumn id="24" xr3:uid="{00000000-0010-0000-0600-000018000000}" name="累積實收">
      <calculatedColumnFormula>IF(tblCRM[[#This Row],[客戶ID]]="","",SUMIFS(tblSales[實收金額],tblSales[客戶ID],tblCRM[[#This Row],[客戶ID]]))</calculatedColumnFormula>
    </tableColumn>
    <tableColumn id="25" xr3:uid="{00000000-0010-0000-0600-000019000000}" name="行銷同意"/>
    <tableColumn id="26" xr3:uid="{00000000-0010-0000-0600-00001A000000}" name="故事公開同意"/>
    <tableColumn id="27" xr3:uid="{00000000-0010-0000-0600-00001B000000}" name="負責人"/>
    <tableColumn id="28" xr3:uid="{00000000-0010-0000-0600-00001C000000}" name="備註"/>
  </tableColumns>
  <tableStyleInfo name="TableStyleMedium4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blService" displayName="tblService" ref="A4:Q304" totalsRowShown="0">
  <autoFilter ref="A4:Q304" xr:uid="{00000000-0009-0000-0100-000008000000}"/>
  <tableColumns count="17">
    <tableColumn id="1" xr3:uid="{00000000-0010-0000-0700-000001000000}" name="紀錄ID"/>
    <tableColumn id="2" xr3:uid="{00000000-0010-0000-0700-000002000000}" name="日期"/>
    <tableColumn id="3" xr3:uid="{00000000-0010-0000-0700-000003000000}" name="客戶ID"/>
    <tableColumn id="4" xr3:uid="{00000000-0010-0000-0700-000004000000}" name="客戶名稱">
      <calculatedColumnFormula>IFERROR(INDEX(tblCRM[姓名／稱呼],MATCH(tblService[[#This Row],[客戶ID]],tblCRM[客戶ID],0)),"")</calculatedColumnFormula>
    </tableColumn>
    <tableColumn id="5" xr3:uid="{00000000-0010-0000-0700-000005000000}" name="服務SKU"/>
    <tableColumn id="6" xr3:uid="{00000000-0010-0000-0700-000006000000}" name="服務名稱">
      <calculatedColumnFormula>IFERROR(INDEX(tblProducts[正式名稱],MATCH(tblService[[#This Row],[服務SKU]],tblProducts[SKU],0)),"")</calculatedColumnFormula>
    </tableColumn>
    <tableColumn id="7" xr3:uid="{00000000-0010-0000-0700-000007000000}" name="主要議題"/>
    <tableColumn id="8" xr3:uid="{00000000-0010-0000-0700-000008000000}" name="事財情家體"/>
    <tableColumn id="9" xr3:uid="{00000000-0010-0000-0700-000009000000}" name="服務摘要"/>
    <tableColumn id="10" xr3:uid="{00000000-0010-0000-0700-00000A000000}" name="觀察資料／檔案"/>
    <tableColumn id="11" xr3:uid="{00000000-0010-0000-0700-00000B000000}" name="建議下一步"/>
    <tableColumn id="12" xr3:uid="{00000000-0010-0000-0700-00000C000000}" name="推薦SKU"/>
    <tableColumn id="13" xr3:uid="{00000000-0010-0000-0700-00000D000000}" name="回訪日"/>
    <tableColumn id="14" xr3:uid="{00000000-0010-0000-0700-00000E000000}" name="客戶自述觀察"/>
    <tableColumn id="15" xr3:uid="{00000000-0010-0000-0700-00000F000000}" name="隱私等級"/>
    <tableColumn id="16" xr3:uid="{00000000-0010-0000-0700-000010000000}" name="負責人"/>
    <tableColumn id="17" xr3:uid="{00000000-0010-0000-0700-000011000000}" name="備註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blFollowup" displayName="tblFollowup" ref="A4:N304" totalsRowShown="0">
  <autoFilter ref="A4:N304" xr:uid="{00000000-0009-0000-0100-000009000000}"/>
  <tableColumns count="14">
    <tableColumn id="1" xr3:uid="{00000000-0010-0000-0800-000001000000}" name="任務ID"/>
    <tableColumn id="2" xr3:uid="{00000000-0010-0000-0800-000002000000}" name="客戶ID"/>
    <tableColumn id="3" xr3:uid="{00000000-0010-0000-0800-000003000000}" name="客戶名稱">
      <calculatedColumnFormula>IFERROR(INDEX(tblCRM[姓名／稱呼],MATCH(tblFollowup[[#This Row],[客戶ID]],tblCRM[客戶ID],0)),"")</calculatedColumnFormula>
    </tableColumn>
    <tableColumn id="4" xr3:uid="{00000000-0010-0000-0800-000004000000}" name="觸發類型"/>
    <tableColumn id="5" xr3:uid="{00000000-0010-0000-0800-000005000000}" name="來源紀錄ID"/>
    <tableColumn id="6" xr3:uid="{00000000-0010-0000-0800-000006000000}" name="到期日"/>
    <tableColumn id="7" xr3:uid="{00000000-0010-0000-0800-000007000000}" name="任務內容"/>
    <tableColumn id="8" xr3:uid="{00000000-0010-0000-0800-000008000000}" name="建議訊息"/>
    <tableColumn id="9" xr3:uid="{00000000-0010-0000-0800-000009000000}" name="狀態"/>
    <tableColumn id="10" xr3:uid="{00000000-0010-0000-0800-00000A000000}" name="完成日"/>
    <tableColumn id="11" xr3:uid="{00000000-0010-0000-0800-00000B000000}" name="結果"/>
    <tableColumn id="12" xr3:uid="{00000000-0010-0000-0800-00000C000000}" name="下一任務日"/>
    <tableColumn id="13" xr3:uid="{00000000-0010-0000-0800-00000D000000}" name="負責人"/>
    <tableColumn id="14" xr3:uid="{00000000-0010-0000-0800-00000E000000}" name="備註"/>
  </tableColumns>
  <tableStyleInfo name="TableStyleMedium4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blContent" displayName="tblContent" ref="A4:T44" totalsRowShown="0">
  <autoFilter ref="A4:T44" xr:uid="{00000000-0009-0000-0100-00000A000000}"/>
  <tableColumns count="20">
    <tableColumn id="1" xr3:uid="{00000000-0010-0000-0900-000001000000}" name="內容ID"/>
    <tableColumn id="2" xr3:uid="{00000000-0010-0000-0900-000002000000}" name="帳號"/>
    <tableColumn id="3" xr3:uid="{00000000-0010-0000-0900-000003000000}" name="漏斗階段"/>
    <tableColumn id="4" xr3:uid="{00000000-0010-0000-0900-000004000000}" name="內容類型"/>
    <tableColumn id="5" xr3:uid="{00000000-0010-0000-0900-000005000000}" name="標題／Hook"/>
    <tableColumn id="6" xr3:uid="{00000000-0010-0000-0900-000006000000}" name="客戶議題"/>
    <tableColumn id="7" xr3:uid="{00000000-0010-0000-0900-000007000000}" name="產品角色"/>
    <tableColumn id="8" xr3:uid="{00000000-0010-0000-0900-000008000000}" name="SKU"/>
    <tableColumn id="9" xr3:uid="{00000000-0010-0000-0900-000009000000}" name="格式"/>
    <tableColumn id="10" xr3:uid="{00000000-0010-0000-0900-00000A000000}" name="CTA"/>
    <tableColumn id="11" xr3:uid="{00000000-0010-0000-0900-00000B000000}" name="誘因／承接"/>
    <tableColumn id="12" xr3:uid="{00000000-0010-0000-0900-00000C000000}" name="所需證據"/>
    <tableColumn id="13" xr3:uid="{00000000-0010-0000-0900-00000D000000}" name="宣稱風險"/>
    <tableColumn id="14" xr3:uid="{00000000-0010-0000-0900-00000E000000}" name="狀態"/>
    <tableColumn id="15" xr3:uid="{00000000-0010-0000-0900-00000F000000}" name="預定拍攝日"/>
    <tableColumn id="16" xr3:uid="{00000000-0010-0000-0900-000010000000}" name="預定發布日"/>
    <tableColumn id="17" xr3:uid="{00000000-0010-0000-0900-000011000000}" name="實際發布日"/>
    <tableColumn id="18" xr3:uid="{00000000-0010-0000-0900-000012000000}" name="連結"/>
    <tableColumn id="19" xr3:uid="{00000000-0010-0000-0900-000013000000}" name="負責人"/>
    <tableColumn id="20" xr3:uid="{00000000-0010-0000-0900-000014000000}" name="備註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blContentMetrics" displayName="tblContentMetrics" ref="A4:U204" totalsRowShown="0">
  <autoFilter ref="A4:U204" xr:uid="{00000000-0009-0000-0100-00000B000000}"/>
  <tableColumns count="21">
    <tableColumn id="1" xr3:uid="{00000000-0010-0000-0A00-000001000000}" name="內容ID"/>
    <tableColumn id="2" xr3:uid="{00000000-0010-0000-0A00-000002000000}" name="發布日"/>
    <tableColumn id="3" xr3:uid="{00000000-0010-0000-0A00-000003000000}" name="平台"/>
    <tableColumn id="4" xr3:uid="{00000000-0010-0000-0A00-000004000000}" name="觀看"/>
    <tableColumn id="5" xr3:uid="{00000000-0010-0000-0A00-000005000000}" name="3秒觀看"/>
    <tableColumn id="6" xr3:uid="{00000000-0010-0000-0A00-000006000000}" name="平均觀看秒"/>
    <tableColumn id="7" xr3:uid="{00000000-0010-0000-0A00-000007000000}" name="完播率"/>
    <tableColumn id="8" xr3:uid="{00000000-0010-0000-0A00-000008000000}" name="收藏"/>
    <tableColumn id="9" xr3:uid="{00000000-0010-0000-0A00-000009000000}" name="分享"/>
    <tableColumn id="10" xr3:uid="{00000000-0010-0000-0A00-00000A000000}" name="留言"/>
    <tableColumn id="11" xr3:uid="{00000000-0010-0000-0A00-00000B000000}" name="私訊"/>
    <tableColumn id="12" xr3:uid="{00000000-0010-0000-0A00-00000C000000}" name="LINE新增"/>
    <tableColumn id="13" xr3:uid="{00000000-0010-0000-0A00-00000D000000}" name="預約"/>
    <tableColumn id="14" xr3:uid="{00000000-0010-0000-0A00-00000E000000}" name="訂單"/>
    <tableColumn id="15" xr3:uid="{00000000-0010-0000-0A00-00000F000000}" name="實收"/>
    <tableColumn id="16" xr3:uid="{00000000-0010-0000-0A00-000010000000}" name="廣告費"/>
    <tableColumn id="17" xr3:uid="{00000000-0010-0000-0A00-000011000000}" name="互動率">
      <calculatedColumnFormula>IFERROR((tblContentMetrics[[#This Row],[收藏]]+tblContentMetrics[[#This Row],[分享]]+tblContentMetrics[[#This Row],[留言]]+tblContentMetrics[[#This Row],[私訊]]) / tblContentMetrics[[#This Row],[觀看]],"")</calculatedColumnFormula>
    </tableColumn>
    <tableColumn id="18" xr3:uid="{00000000-0010-0000-0A00-000012000000}" name="LINE轉換率">
      <calculatedColumnFormula>IFERROR(tblContentMetrics[[#This Row],[LINE新增]]/tblContentMetrics[[#This Row],[觀看]],"")</calculatedColumnFormula>
    </tableColumn>
    <tableColumn id="19" xr3:uid="{00000000-0010-0000-0A00-000013000000}" name="預約轉換率">
      <calculatedColumnFormula>IFERROR(tblContentMetrics[[#This Row],[預約]]/tblContentMetrics[[#This Row],[LINE新增]],"")</calculatedColumnFormula>
    </tableColumn>
    <tableColumn id="20" xr3:uid="{00000000-0010-0000-0A00-000014000000}" name="成交轉換率">
      <calculatedColumnFormula>IFERROR(tblContentMetrics[[#This Row],[訂單]]/tblContentMetrics[[#This Row],[LINE新增]],"")</calculatedColumnFormula>
    </tableColumn>
    <tableColumn id="21" xr3:uid="{00000000-0010-0000-0A00-000015000000}" name="備註"/>
  </tableColumns>
  <tableStyleInfo name="TableStyleMedium4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blStories" displayName="tblStories" ref="A4:U154" totalsRowShown="0">
  <autoFilter ref="A4:U154" xr:uid="{00000000-0009-0000-0100-00000C000000}"/>
  <tableColumns count="21">
    <tableColumn id="1" xr3:uid="{00000000-0010-0000-0B00-000001000000}" name="故事ID"/>
    <tableColumn id="2" xr3:uid="{00000000-0010-0000-0B00-000002000000}" name="客戶ID"/>
    <tableColumn id="3" xr3:uid="{00000000-0010-0000-0B00-000003000000}" name="匿名稱呼"/>
    <tableColumn id="4" xr3:uid="{00000000-0010-0000-0B00-000004000000}" name="來源日期"/>
    <tableColumn id="5" xr3:uid="{00000000-0010-0000-0B00-000005000000}" name="來源管道"/>
    <tableColumn id="6" xr3:uid="{00000000-0010-0000-0B00-000006000000}" name="產品／服務"/>
    <tableColumn id="7" xr3:uid="{00000000-0010-0000-0B00-000007000000}" name="原先情境"/>
    <tableColumn id="8" xr3:uid="{00000000-0010-0000-0B00-000008000000}" name="採取的行動"/>
    <tableColumn id="9" xr3:uid="{00000000-0010-0000-0B00-000009000000}" name="客戶自述觀察"/>
    <tableColumn id="10" xr3:uid="{00000000-0010-0000-0B00-00000A000000}" name="原始證據路徑"/>
    <tableColumn id="11" xr3:uid="{00000000-0010-0000-0B00-00000B000000}" name="內部使用同意"/>
    <tableColumn id="12" xr3:uid="{00000000-0010-0000-0B00-00000C000000}" name="匿名公開同意"/>
    <tableColumn id="13" xr3:uid="{00000000-0010-0000-0B00-00000D000000}" name="已去識別"/>
    <tableColumn id="14" xr3:uid="{00000000-0010-0000-0B00-00000E000000}" name="核准文案"/>
    <tableColumn id="15" xr3:uid="{00000000-0010-0000-0B00-00000F000000}" name="審核人"/>
    <tableColumn id="16" xr3:uid="{00000000-0010-0000-0B00-000010000000}" name="風險"/>
    <tableColumn id="17" xr3:uid="{00000000-0010-0000-0B00-000011000000}" name="狀態"/>
    <tableColumn id="18" xr3:uid="{00000000-0010-0000-0B00-000012000000}" name="發布日"/>
    <tableColumn id="19" xr3:uid="{00000000-0010-0000-0B00-000013000000}" name="發布連結"/>
    <tableColumn id="20" xr3:uid="{00000000-0010-0000-0B00-000014000000}" name="撤回日"/>
    <tableColumn id="21" xr3:uid="{00000000-0010-0000-0B00-000015000000}" name="備註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blLeads" displayName="tblLeads" ref="A4:R304" totalsRowShown="0">
  <autoFilter ref="A4:R304" xr:uid="{00000000-0009-0000-0100-00000D000000}"/>
  <tableColumns count="18">
    <tableColumn id="1" xr3:uid="{00000000-0010-0000-0C00-000001000000}" name="名單ID"/>
    <tableColumn id="2" xr3:uid="{00000000-0010-0000-0C00-000002000000}" name="進線日"/>
    <tableColumn id="3" xr3:uid="{00000000-0010-0000-0C00-000003000000}" name="客戶ID"/>
    <tableColumn id="4" xr3:uid="{00000000-0010-0000-0C00-000004000000}" name="來源內容ID"/>
    <tableColumn id="5" xr3:uid="{00000000-0010-0000-0C00-000005000000}" name="通路"/>
    <tableColumn id="6" xr3:uid="{00000000-0010-0000-0C00-000006000000}" name="關鍵字"/>
    <tableColumn id="7" xr3:uid="{00000000-0010-0000-0C00-000007000000}" name="主要需求"/>
    <tableColumn id="8" xr3:uid="{00000000-0010-0000-0C00-000008000000}" name="漏斗階段"/>
    <tableColumn id="9" xr3:uid="{00000000-0010-0000-0C00-000009000000}" name="首次回覆時間"/>
    <tableColumn id="10" xr3:uid="{00000000-0010-0000-0C00-00000A000000}" name="回覆分鐘"/>
    <tableColumn id="11" xr3:uid="{00000000-0010-0000-0C00-00000B000000}" name="下一步"/>
    <tableColumn id="12" xr3:uid="{00000000-0010-0000-0C00-00000C000000}" name="下次行動日"/>
    <tableColumn id="13" xr3:uid="{00000000-0010-0000-0C00-00000D000000}" name="預約日"/>
    <tableColumn id="14" xr3:uid="{00000000-0010-0000-0C00-00000E000000}" name="訂單ID"/>
    <tableColumn id="15" xr3:uid="{00000000-0010-0000-0C00-00000F000000}" name="流失原因"/>
    <tableColumn id="16" xr3:uid="{00000000-0010-0000-0C00-000010000000}" name="負責人"/>
    <tableColumn id="17" xr3:uid="{00000000-0010-0000-0C00-000011000000}" name="狀態"/>
    <tableColumn id="18" xr3:uid="{00000000-0010-0000-0C00-000012000000}" name="備註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blLineSOP" displayName="tblLineSOP" ref="A4:J14" totalsRowShown="0">
  <autoFilter ref="A4:J14" xr:uid="{00000000-0009-0000-0100-00000E000000}"/>
  <tableColumns count="10">
    <tableColumn id="1" xr3:uid="{00000000-0010-0000-0D00-000001000000}" name="情境"/>
    <tableColumn id="2" xr3:uid="{00000000-0010-0000-0D00-000002000000}" name="觸發／關鍵字"/>
    <tableColumn id="3" xr3:uid="{00000000-0010-0000-0D00-000003000000}" name="目的"/>
    <tableColumn id="4" xr3:uid="{00000000-0010-0000-0D00-000004000000}" name="第一回覆"/>
    <tableColumn id="5" xr3:uid="{00000000-0010-0000-0D00-000005000000}" name="資格提問"/>
    <tableColumn id="6" xr3:uid="{00000000-0010-0000-0D00-000006000000}" name="下一個CTA"/>
    <tableColumn id="7" xr3:uid="{00000000-0010-0000-0D00-000007000000}" name="LINE標籤"/>
    <tableColumn id="8" xr3:uid="{00000000-0010-0000-0D00-000008000000}" name="回覆SLA"/>
    <tableColumn id="9" xr3:uid="{00000000-0010-0000-0D00-000009000000}" name="禁止說法"/>
    <tableColumn id="10" xr3:uid="{00000000-0010-0000-0D00-00000A000000}" name="狀態"/>
  </tableColumns>
  <tableStyleInfo name="TableStyleMedium4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blShare" displayName="tblShare" ref="A13:K36" totalsRowShown="0">
  <autoFilter ref="A13:K36" xr:uid="{00000000-0009-0000-0100-00000F000000}"/>
  <tableColumns count="11">
    <tableColumn id="1" xr3:uid="{00000000-0010-0000-0E00-000001000000}" name="SKU"/>
    <tableColumn id="2" xr3:uid="{00000000-0010-0000-0E00-000002000000}" name="產品名稱"/>
    <tableColumn id="3" xr3:uid="{00000000-0010-0000-0E00-000003000000}" name="期間數量">
      <calculatedColumnFormula>IF(OR($C$5="",$C$6=""),0,SUMIFS(tblSales[數量],tblSales[SKU],tblShare[[#This Row],[SKU]],tblSales[訂單日期],"&gt;="&amp;$C$5,tblSales[訂單日期],"&lt;="&amp;$C$6,tblSales[付款狀態],"已付款"))</calculatedColumnFormula>
    </tableColumn>
    <tableColumn id="4" xr3:uid="{00000000-0010-0000-0E00-000004000000}" name="期間實收">
      <calculatedColumnFormula>IF(OR($C$5="",$C$6=""),0,SUMIFS(tblSales[實收金額],tblSales[SKU],tblShare[[#This Row],[SKU]],tblSales[訂單日期],"&gt;="&amp;$C$5,tblSales[訂單日期],"&lt;="&amp;$C$6,tblSales[付款狀態],"已付款"))</calculatedColumnFormula>
    </tableColumn>
    <tableColumn id="5" xr3:uid="{00000000-0010-0000-0E00-000005000000}" name="單位成本"/>
    <tableColumn id="6" xr3:uid="{00000000-0010-0000-0E00-000006000000}" name="產品成本">
      <calculatedColumnFormula>IF(tblShare[[#This Row],[單位成本]]="",0,tblShare[[#This Row],[期間數量]]*tblShare[[#This Row],[單位成本]])</calculatedColumnFormula>
    </tableColumn>
    <tableColumn id="7" xr3:uid="{00000000-0010-0000-0E00-000007000000}" name="期間毛利">
      <calculatedColumnFormula>tblShare[[#This Row],[期間實收]]-tblShare[[#This Row],[產品成本]]</calculatedColumnFormula>
    </tableColumn>
    <tableColumn id="8" xr3:uid="{00000000-0010-0000-0E00-000008000000}" name="是否新產品"/>
    <tableColumn id="9" xr3:uid="{00000000-0010-0000-0E00-000009000000}" name="新產品分潤率"/>
    <tableColumn id="10" xr3:uid="{00000000-0010-0000-0E00-00000A000000}" name="新產品分潤">
      <calculatedColumnFormula>IF(tblShare[[#This Row],[是否新產品]]="是",MAX(0,tblShare[[#This Row],[期間毛利]])*tblShare[[#This Row],[新產品分潤率]],0)</calculatedColumnFormula>
    </tableColumn>
    <tableColumn id="11" xr3:uid="{00000000-0010-0000-0E00-00000B000000}" name="備註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blDecisions" displayName="tblDecisions" ref="A4:K19" totalsRowShown="0">
  <autoFilter ref="A4:K19" xr:uid="{00000000-0009-0000-0100-000010000000}"/>
  <tableColumns count="11">
    <tableColumn id="1" xr3:uid="{00000000-0010-0000-0F00-000001000000}" name="決策ID"/>
    <tableColumn id="2" xr3:uid="{00000000-0010-0000-0F00-000002000000}" name="類別"/>
    <tableColumn id="3" xr3:uid="{00000000-0010-0000-0F00-000003000000}" name="要決定什麼"/>
    <tableColumn id="4" xr3:uid="{00000000-0010-0000-0F00-000004000000}" name="本版建議"/>
    <tableColumn id="5" xr3:uid="{00000000-0010-0000-0F00-000005000000}" name="理由／依據"/>
    <tableColumn id="6" xr3:uid="{00000000-0010-0000-0F00-000006000000}" name="最晚決策點"/>
    <tableColumn id="7" xr3:uid="{00000000-0010-0000-0F00-000007000000}" name="決策者"/>
    <tableColumn id="8" xr3:uid="{00000000-0010-0000-0F00-000008000000}" name="狀態"/>
    <tableColumn id="9" xr3:uid="{00000000-0010-0000-0F00-000009000000}" name="最終決定"/>
    <tableColumn id="10" xr3:uid="{00000000-0010-0000-0F00-00000A000000}" name="決策日期"/>
    <tableColumn id="11" xr3:uid="{00000000-0010-0000-0F00-00000B000000}" name="證據／會議"/>
  </tableColumns>
  <tableStyleInfo name="TableStyleMedium4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blDataIssues" displayName="tblDataIssues" ref="A4:H22" totalsRowShown="0">
  <autoFilter ref="A4:H22" xr:uid="{00000000-0009-0000-0100-000011000000}"/>
  <tableColumns count="8">
    <tableColumn id="1" xr3:uid="{00000000-0010-0000-1000-000001000000}" name="問題ID"/>
    <tableColumn id="2" xr3:uid="{00000000-0010-0000-1000-000002000000}" name="嚴重度"/>
    <tableColumn id="3" xr3:uid="{00000000-0010-0000-1000-000003000000}" name="類別"/>
    <tableColumn id="4" xr3:uid="{00000000-0010-0000-1000-000004000000}" name="發現"/>
    <tableColumn id="5" xr3:uid="{00000000-0010-0000-1000-000005000000}" name="影響"/>
    <tableColumn id="6" xr3:uid="{00000000-0010-0000-1000-000006000000}" name="處理建議"/>
    <tableColumn id="7" xr3:uid="{00000000-0010-0000-1000-000007000000}" name="來源"/>
    <tableColumn id="8" xr3:uid="{00000000-0010-0000-1000-000008000000}" name="狀態"/>
  </tableColumns>
  <tableStyleInfo name="TableStyleMedium3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tblSourceAudit" displayName="tblSourceAudit" ref="A26:D42" totalsRowShown="0">
  <autoFilter ref="A26:D42" xr:uid="{00000000-0009-0000-0100-000012000000}"/>
  <tableColumns count="4">
    <tableColumn id="1" xr3:uid="{00000000-0010-0000-1100-000001000000}" name="來源檔"/>
    <tableColumn id="2" xr3:uid="{00000000-0010-0000-1100-000002000000}" name="用途"/>
    <tableColumn id="3" xr3:uid="{00000000-0010-0000-1100-000003000000}" name="處理"/>
    <tableColumn id="4" xr3:uid="{00000000-0010-0000-1100-000004000000}" name="說明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table" Target="../tables/table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D3A647"/>
    <pageSetUpPr fitToPage="1"/>
  </sheetPr>
  <dimension ref="A1:M26"/>
  <sheetViews>
    <sheetView showGridLines="0" workbookViewId="0">
      <pane ySplit="4" topLeftCell="A18" activePane="bottomLeft" state="frozen"/>
      <selection pane="bottomLeft" activeCell="A26" sqref="A26:XFD26"/>
    </sheetView>
  </sheetViews>
  <sheetFormatPr defaultRowHeight="19.95" customHeight="1"/>
  <cols>
    <col min="1" max="1" width="63.875" bestFit="1" customWidth="1"/>
    <col min="2" max="2" width="55.875" bestFit="1" customWidth="1"/>
    <col min="3" max="3" width="70.75" customWidth="1"/>
    <col min="4" max="4" width="24.75" customWidth="1"/>
  </cols>
  <sheetData>
    <row r="1" spans="1:13" ht="34.049999999999997" customHeight="1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2" spans="1:13" ht="37.950000000000003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4" spans="1:13" ht="19.95" customHeight="1">
      <c r="B4" s="11" t="s">
        <v>2</v>
      </c>
      <c r="C4" s="11"/>
      <c r="D4" s="11"/>
    </row>
    <row r="5" spans="1:13" ht="19.95" customHeight="1">
      <c r="B5" s="1" t="s">
        <v>3</v>
      </c>
      <c r="C5" s="1" t="s">
        <v>4</v>
      </c>
      <c r="D5" s="1" t="s">
        <v>5</v>
      </c>
    </row>
    <row r="7" spans="1:13" ht="19.95" customHeight="1">
      <c r="B7" s="11" t="s">
        <v>6</v>
      </c>
      <c r="C7" s="11"/>
      <c r="D7" s="11"/>
    </row>
    <row r="8" spans="1:13" ht="19.95" customHeight="1">
      <c r="B8" s="2" t="s">
        <v>7</v>
      </c>
      <c r="C8" s="12" t="s">
        <v>8</v>
      </c>
      <c r="D8" s="12"/>
    </row>
    <row r="9" spans="1:13" ht="19.95" customHeight="1">
      <c r="B9" s="2" t="s">
        <v>9</v>
      </c>
      <c r="C9" s="12" t="s">
        <v>10</v>
      </c>
      <c r="D9" s="12"/>
    </row>
    <row r="10" spans="1:13" ht="19.95" customHeight="1">
      <c r="B10" s="2" t="s">
        <v>11</v>
      </c>
      <c r="C10" s="12" t="s">
        <v>12</v>
      </c>
      <c r="D10" s="12"/>
    </row>
    <row r="11" spans="1:13" ht="19.95" customHeight="1">
      <c r="B11" s="2" t="s">
        <v>13</v>
      </c>
      <c r="C11" s="12" t="s">
        <v>14</v>
      </c>
      <c r="D11" s="12"/>
    </row>
    <row r="12" spans="1:13" ht="19.95" customHeight="1">
      <c r="B12" s="2" t="s">
        <v>15</v>
      </c>
      <c r="C12" s="12" t="s">
        <v>16</v>
      </c>
      <c r="D12" s="12"/>
    </row>
    <row r="13" spans="1:13" ht="19.95" customHeight="1">
      <c r="B13" s="2" t="s">
        <v>17</v>
      </c>
      <c r="C13" s="12" t="s">
        <v>18</v>
      </c>
      <c r="D13" s="12"/>
    </row>
    <row r="14" spans="1:13" ht="19.95" customHeight="1">
      <c r="B14" s="2" t="s">
        <v>19</v>
      </c>
      <c r="C14" s="12" t="s">
        <v>20</v>
      </c>
      <c r="D14" s="12"/>
    </row>
    <row r="17" spans="2:4" ht="19.95" customHeight="1">
      <c r="B17" s="11" t="s">
        <v>21</v>
      </c>
      <c r="C17" s="11"/>
      <c r="D17" s="11"/>
    </row>
    <row r="18" spans="2:4" ht="19.95" customHeight="1">
      <c r="B18" s="3" t="s">
        <v>22</v>
      </c>
      <c r="C18" s="12" t="s">
        <v>23</v>
      </c>
      <c r="D18" s="12"/>
    </row>
    <row r="19" spans="2:4" ht="19.95" customHeight="1">
      <c r="B19" s="3" t="s">
        <v>24</v>
      </c>
      <c r="C19" s="12" t="s">
        <v>25</v>
      </c>
      <c r="D19" s="12"/>
    </row>
    <row r="20" spans="2:4" ht="19.95" customHeight="1">
      <c r="B20" s="3" t="s">
        <v>26</v>
      </c>
      <c r="C20" s="12" t="s">
        <v>27</v>
      </c>
      <c r="D20" s="12"/>
    </row>
    <row r="21" spans="2:4" ht="19.95" customHeight="1">
      <c r="B21" s="3" t="s">
        <v>28</v>
      </c>
      <c r="C21" s="12" t="s">
        <v>29</v>
      </c>
      <c r="D21" s="12"/>
    </row>
    <row r="24" spans="2:4" ht="19.95" customHeight="1">
      <c r="B24" s="11" t="s">
        <v>30</v>
      </c>
      <c r="C24" s="11"/>
      <c r="D24" s="11"/>
    </row>
    <row r="25" spans="2:4" ht="19.95" customHeight="1">
      <c r="B25" s="12" t="s">
        <v>31</v>
      </c>
      <c r="C25" s="12"/>
      <c r="D25" s="12"/>
    </row>
    <row r="26" spans="2:4" ht="19.95" customHeight="1">
      <c r="B26" s="12" t="s">
        <v>32</v>
      </c>
      <c r="C26" s="12"/>
      <c r="D26" s="12"/>
    </row>
  </sheetData>
  <mergeCells count="19">
    <mergeCell ref="B26:D26"/>
    <mergeCell ref="C21:D21"/>
    <mergeCell ref="B24:D24"/>
    <mergeCell ref="B25:D25"/>
    <mergeCell ref="C14:D14"/>
    <mergeCell ref="B17:D17"/>
    <mergeCell ref="C18:D18"/>
    <mergeCell ref="C19:D19"/>
    <mergeCell ref="C20:D20"/>
    <mergeCell ref="C9:D9"/>
    <mergeCell ref="C10:D10"/>
    <mergeCell ref="C11:D11"/>
    <mergeCell ref="C12:D12"/>
    <mergeCell ref="C13:D13"/>
    <mergeCell ref="A1:M1"/>
    <mergeCell ref="A2:M2"/>
    <mergeCell ref="B4:D4"/>
    <mergeCell ref="B7:D7"/>
    <mergeCell ref="C8:D8"/>
  </mergeCells>
  <phoneticPr fontId="8" type="noConversion"/>
  <pageMargins left="0.25" right="0.25" top="0.4" bottom="0.4" header="0.3" footer="0.3"/>
  <pageSetup fitToHeight="0" orientation="landscape"/>
  <headerFooter>
    <oddHeader>&amp;L希望之光 Hope Light&amp;C品牌營運管理系統&amp;R&amp;D</oddHeader>
    <oddFooter>&amp;L[Codex] 初版｜待確認資料不可直接對外&amp;R第 &amp;P / &amp;N 頁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D3A647"/>
    <pageSetUpPr fitToPage="1"/>
  </sheetPr>
  <dimension ref="A1:M24"/>
  <sheetViews>
    <sheetView showGridLines="0" workbookViewId="0">
      <pane ySplit="4" topLeftCell="A17" activePane="bottomLeft" state="frozen"/>
      <selection pane="bottomLeft" sqref="A1:M1"/>
    </sheetView>
  </sheetViews>
  <sheetFormatPr defaultRowHeight="19.95" customHeight="1"/>
  <cols>
    <col min="1" max="12" width="14.75" customWidth="1"/>
  </cols>
  <sheetData>
    <row r="1" spans="1:13" ht="34.049999999999997" customHeight="1">
      <c r="A1" s="9" t="s">
        <v>33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2" spans="1:13" ht="31.05" customHeight="1">
      <c r="A2" s="10" t="s">
        <v>34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4" spans="1:13" ht="19.95" customHeight="1">
      <c r="B4" s="13" t="s">
        <v>35</v>
      </c>
      <c r="C4" s="13"/>
      <c r="E4" s="13" t="s">
        <v>36</v>
      </c>
      <c r="F4" s="13"/>
      <c r="H4" s="13" t="s">
        <v>37</v>
      </c>
      <c r="I4" s="13"/>
      <c r="K4" s="13" t="s">
        <v>38</v>
      </c>
      <c r="L4" s="13"/>
    </row>
    <row r="5" spans="1:13" ht="19.95" customHeight="1">
      <c r="B5" s="14">
        <f>IFERROR(COUNTIF(tblRoadmap[狀態],"已完成")/COUNTA(tblRoadmap[任務]),0)</f>
        <v>0</v>
      </c>
      <c r="C5" s="15"/>
      <c r="E5" s="15">
        <f>COUNTIF(tblDataIssues[狀態],"待確認")+COUNTIF(tblDataIssues[狀態],"待補資料")+COUNTIF(tblDataIssues[狀態],"待盤點")+COUNTIF(tblDataIssues[狀態],"待審查")</f>
        <v>13</v>
      </c>
      <c r="F5" s="15"/>
      <c r="H5" s="15">
        <f>COUNTIF(tblStock[狀態],"補貨提醒")+COUNTIF(tblStock[狀態],"負庫存")</f>
        <v>0</v>
      </c>
      <c r="I5" s="15"/>
      <c r="K5" s="15">
        <f ca="1">COUNTIFS(tblFollowup[狀態],"&lt;&gt;已完成",tblFollowup[到期日],"&lt;"&amp;TODAY(),tblFollowup[到期日],"&lt;&gt;")</f>
        <v>0</v>
      </c>
      <c r="L5" s="15"/>
    </row>
    <row r="6" spans="1:13" ht="19.95" customHeight="1">
      <c r="B6" s="15"/>
      <c r="C6" s="15"/>
      <c r="E6" s="15"/>
      <c r="F6" s="15"/>
      <c r="H6" s="15"/>
      <c r="I6" s="15"/>
      <c r="K6" s="15"/>
      <c r="L6" s="15"/>
    </row>
    <row r="8" spans="1:13" ht="19.95" customHeight="1">
      <c r="B8" s="13" t="s">
        <v>39</v>
      </c>
      <c r="C8" s="13"/>
      <c r="E8" s="13" t="s">
        <v>40</v>
      </c>
      <c r="F8" s="13"/>
      <c r="H8" s="13" t="s">
        <v>41</v>
      </c>
      <c r="I8" s="13"/>
      <c r="K8" s="13" t="s">
        <v>42</v>
      </c>
      <c r="L8" s="13"/>
    </row>
    <row r="9" spans="1:13" ht="19.95" customHeight="1">
      <c r="B9" s="15">
        <f>COUNTIF(tblLeads[漏斗階段],"有效對話")+COUNTIF(tblLeads[漏斗階段],"已加LINE")</f>
        <v>0</v>
      </c>
      <c r="C9" s="15"/>
      <c r="E9" s="15">
        <f>COUNTIF(tblLeads[漏斗階段],"已預約")</f>
        <v>0</v>
      </c>
      <c r="F9" s="15"/>
      <c r="H9" s="15">
        <f>COUNTIF(tblLeads[漏斗階段],"已成交")+COUNTIF(tblLeads[漏斗階段],"回購")</f>
        <v>0</v>
      </c>
      <c r="I9" s="15"/>
      <c r="K9" s="16">
        <f>SUM(tblSales[實收金額])</f>
        <v>0</v>
      </c>
      <c r="L9" s="15"/>
    </row>
    <row r="10" spans="1:13" ht="19.95" customHeight="1">
      <c r="B10" s="15"/>
      <c r="C10" s="15"/>
      <c r="E10" s="15"/>
      <c r="F10" s="15"/>
      <c r="H10" s="15"/>
      <c r="I10" s="15"/>
      <c r="K10" s="15"/>
      <c r="L10" s="15"/>
    </row>
    <row r="13" spans="1:13" ht="19.95" customHeight="1">
      <c r="B13" s="11" t="s">
        <v>43</v>
      </c>
      <c r="C13" s="11"/>
      <c r="D13" s="11"/>
      <c r="E13" s="11"/>
      <c r="F13" s="11"/>
      <c r="G13" s="11"/>
      <c r="H13" s="11"/>
      <c r="I13" s="11"/>
      <c r="J13" s="11"/>
      <c r="K13" s="11"/>
      <c r="L13" s="11"/>
    </row>
    <row r="15" spans="1:13" ht="19.95" customHeight="1">
      <c r="B15" s="3" t="s">
        <v>44</v>
      </c>
      <c r="C15" s="7" t="s">
        <v>46</v>
      </c>
      <c r="D15" s="7" t="s">
        <v>47</v>
      </c>
      <c r="E15" s="7" t="s">
        <v>48</v>
      </c>
      <c r="F15" s="7" t="s">
        <v>49</v>
      </c>
      <c r="G15" s="7" t="s">
        <v>50</v>
      </c>
      <c r="H15" s="7" t="s">
        <v>51</v>
      </c>
    </row>
    <row r="17" spans="2:12" ht="19.95" customHeight="1">
      <c r="B17" s="3" t="s">
        <v>45</v>
      </c>
      <c r="C17" s="2" t="s">
        <v>52</v>
      </c>
      <c r="D17" s="2" t="s">
        <v>47</v>
      </c>
      <c r="E17" s="2" t="s">
        <v>53</v>
      </c>
      <c r="F17" s="2" t="s">
        <v>54</v>
      </c>
      <c r="G17" s="2" t="s">
        <v>55</v>
      </c>
      <c r="H17" s="2" t="s">
        <v>56</v>
      </c>
    </row>
    <row r="20" spans="2:12" ht="19.95" customHeight="1">
      <c r="B20" s="11" t="s">
        <v>57</v>
      </c>
      <c r="C20" s="11"/>
      <c r="D20" s="11"/>
      <c r="E20" s="11"/>
      <c r="F20" s="11"/>
      <c r="G20" s="11"/>
      <c r="H20" s="11"/>
      <c r="I20" s="11"/>
      <c r="J20" s="11"/>
      <c r="K20" s="11"/>
      <c r="L20" s="11"/>
    </row>
    <row r="21" spans="2:12" ht="19.95" customHeight="1">
      <c r="B21" s="3" t="s">
        <v>58</v>
      </c>
      <c r="C21" s="5">
        <f>COUNTIF(tblProducts[內容核准],"待確認")+COUNTIF(tblProducts[內容核准],"待老師核准")+COUNTIF(tblProducts[內容核准],"待建立")+COUNTIF(tblProducts[內容核准],"待補資料")+COUNTIF(tblProducts[內容核准],"待安全改寫")</f>
        <v>23</v>
      </c>
      <c r="D21" s="12" t="s">
        <v>59</v>
      </c>
      <c r="E21" s="12"/>
      <c r="F21" s="12"/>
      <c r="G21" s="12"/>
    </row>
    <row r="22" spans="2:12" ht="19.95" customHeight="1">
      <c r="B22" s="3" t="s">
        <v>60</v>
      </c>
      <c r="C22" s="5">
        <f>COUNTIF(tblStories[狀態],"待核准")</f>
        <v>0</v>
      </c>
      <c r="D22" s="12" t="s">
        <v>61</v>
      </c>
      <c r="E22" s="12"/>
      <c r="F22" s="12"/>
      <c r="G22" s="12"/>
    </row>
    <row r="23" spans="2:12" ht="19.95" customHeight="1">
      <c r="B23" s="3" t="s">
        <v>62</v>
      </c>
      <c r="C23" s="5">
        <f>COUNTIF(tblContent[狀態],"待核准")</f>
        <v>0</v>
      </c>
      <c r="D23" s="12" t="s">
        <v>63</v>
      </c>
      <c r="E23" s="12"/>
      <c r="F23" s="12"/>
      <c r="G23" s="12"/>
    </row>
    <row r="24" spans="2:12" ht="19.95" customHeight="1">
      <c r="B24" s="3" t="s">
        <v>64</v>
      </c>
      <c r="C24" s="5">
        <f ca="1">COUNTIFS(tblLeads[狀態],"進行中",tblLeads[下次行動日],"&lt;="&amp;TODAY())</f>
        <v>0</v>
      </c>
      <c r="D24" s="12" t="s">
        <v>65</v>
      </c>
      <c r="E24" s="12"/>
      <c r="F24" s="12"/>
      <c r="G24" s="12"/>
    </row>
  </sheetData>
  <mergeCells count="24">
    <mergeCell ref="D22:G22"/>
    <mergeCell ref="D23:G23"/>
    <mergeCell ref="D24:G24"/>
    <mergeCell ref="K8:L8"/>
    <mergeCell ref="K9:L10"/>
    <mergeCell ref="B13:L13"/>
    <mergeCell ref="B20:L20"/>
    <mergeCell ref="D21:G21"/>
    <mergeCell ref="B8:C8"/>
    <mergeCell ref="B9:C10"/>
    <mergeCell ref="E8:F8"/>
    <mergeCell ref="E9:F10"/>
    <mergeCell ref="H8:I8"/>
    <mergeCell ref="H9:I10"/>
    <mergeCell ref="A1:M1"/>
    <mergeCell ref="A2:M2"/>
    <mergeCell ref="B4:C4"/>
    <mergeCell ref="B5:C6"/>
    <mergeCell ref="E4:F4"/>
    <mergeCell ref="E5:F6"/>
    <mergeCell ref="H4:I4"/>
    <mergeCell ref="H5:I6"/>
    <mergeCell ref="K4:L4"/>
    <mergeCell ref="K5:L6"/>
  </mergeCells>
  <phoneticPr fontId="8" type="noConversion"/>
  <pageMargins left="0.25" right="0.25" top="0.4" bottom="0.4" header="0.3" footer="0.3"/>
  <pageSetup fitToHeight="0" orientation="landscape"/>
  <headerFooter>
    <oddHeader>&amp;L希望之光 Hope Light&amp;C品牌營運管理系統&amp;R&amp;D</oddHeader>
    <oddFooter>&amp;L[Codex] 初版｜待確認資料不可直接對外&amp;R第 &amp;P / &amp;N 頁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D3A647"/>
    <pageSetUpPr fitToPage="1"/>
  </sheetPr>
  <dimension ref="A1:N43"/>
  <sheetViews>
    <sheetView showGridLines="0" tabSelected="1" workbookViewId="0">
      <pane ySplit="4" topLeftCell="A20" activePane="bottomLeft" state="frozen"/>
      <selection pane="bottomLeft" sqref="A1:M1"/>
    </sheetView>
  </sheetViews>
  <sheetFormatPr defaultRowHeight="19.95" customHeight="1"/>
  <cols>
    <col min="1" max="1" width="18.75" customWidth="1"/>
    <col min="2" max="2" width="8.75" customWidth="1"/>
    <col min="3" max="3" width="13.75" customWidth="1"/>
    <col min="4" max="4" width="14.75" customWidth="1"/>
    <col min="5" max="5" width="38.75" customWidth="1"/>
    <col min="6" max="6" width="24.75" customWidth="1"/>
    <col min="7" max="7" width="50.75" customWidth="1"/>
    <col min="8" max="8" width="28.75" customWidth="1"/>
    <col min="9" max="9" width="30.75" customWidth="1"/>
    <col min="10" max="10" width="12.75" customWidth="1"/>
    <col min="11" max="11" width="20.75" customWidth="1"/>
    <col min="12" max="12" width="12.75" customWidth="1"/>
    <col min="13" max="13" width="13.75" customWidth="1"/>
    <col min="14" max="14" width="30.75" customWidth="1"/>
  </cols>
  <sheetData>
    <row r="1" spans="1:14" ht="34.049999999999997" customHeight="1">
      <c r="A1" s="9" t="s">
        <v>66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2" spans="1:14" ht="36" customHeight="1">
      <c r="A2" s="10" t="s">
        <v>67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4" spans="1:14" ht="19.95" customHeight="1">
      <c r="A4" t="s">
        <v>68</v>
      </c>
      <c r="B4" t="s">
        <v>69</v>
      </c>
      <c r="C4" t="s">
        <v>70</v>
      </c>
      <c r="D4" t="s">
        <v>71</v>
      </c>
      <c r="E4" t="s">
        <v>72</v>
      </c>
      <c r="F4" t="s">
        <v>73</v>
      </c>
      <c r="G4" t="s">
        <v>74</v>
      </c>
      <c r="H4" t="s">
        <v>75</v>
      </c>
      <c r="I4" t="s">
        <v>76</v>
      </c>
      <c r="J4" t="s">
        <v>77</v>
      </c>
      <c r="K4" t="s">
        <v>78</v>
      </c>
      <c r="L4" t="s">
        <v>79</v>
      </c>
      <c r="M4" t="s">
        <v>80</v>
      </c>
      <c r="N4" t="s">
        <v>81</v>
      </c>
    </row>
    <row r="5" spans="1:14" ht="19.95" customHeight="1">
      <c r="A5" t="s">
        <v>82</v>
      </c>
      <c r="B5" t="s">
        <v>83</v>
      </c>
      <c r="C5" t="s">
        <v>84</v>
      </c>
      <c r="D5" t="s">
        <v>85</v>
      </c>
      <c r="E5" t="s">
        <v>86</v>
      </c>
      <c r="F5" t="s">
        <v>87</v>
      </c>
      <c r="G5" t="s">
        <v>88</v>
      </c>
      <c r="H5" t="s">
        <v>89</v>
      </c>
      <c r="I5" t="s">
        <v>90</v>
      </c>
      <c r="J5" t="s">
        <v>91</v>
      </c>
      <c r="K5" t="s">
        <v>92</v>
      </c>
      <c r="L5" t="s">
        <v>93</v>
      </c>
    </row>
    <row r="6" spans="1:14" ht="19.95" customHeight="1">
      <c r="A6" t="s">
        <v>82</v>
      </c>
      <c r="B6" t="s">
        <v>83</v>
      </c>
      <c r="C6" t="s">
        <v>94</v>
      </c>
      <c r="D6" t="s">
        <v>95</v>
      </c>
      <c r="E6" t="s">
        <v>96</v>
      </c>
      <c r="F6" t="s">
        <v>97</v>
      </c>
      <c r="G6" t="s">
        <v>98</v>
      </c>
      <c r="H6" t="s">
        <v>99</v>
      </c>
      <c r="I6" t="s">
        <v>100</v>
      </c>
      <c r="J6" t="s">
        <v>101</v>
      </c>
      <c r="K6" t="s">
        <v>102</v>
      </c>
      <c r="L6" t="s">
        <v>93</v>
      </c>
    </row>
    <row r="7" spans="1:14" ht="19.95" customHeight="1">
      <c r="A7" t="s">
        <v>82</v>
      </c>
      <c r="B7" t="s">
        <v>83</v>
      </c>
      <c r="C7" t="s">
        <v>103</v>
      </c>
      <c r="D7" t="s">
        <v>104</v>
      </c>
      <c r="E7" t="s">
        <v>105</v>
      </c>
      <c r="F7" t="s">
        <v>106</v>
      </c>
      <c r="G7" t="s">
        <v>107</v>
      </c>
      <c r="H7" t="s">
        <v>108</v>
      </c>
      <c r="I7" t="s">
        <v>109</v>
      </c>
      <c r="J7" t="s">
        <v>91</v>
      </c>
      <c r="K7" t="s">
        <v>102</v>
      </c>
      <c r="L7" t="s">
        <v>93</v>
      </c>
    </row>
    <row r="8" spans="1:14" ht="19.95" customHeight="1">
      <c r="A8" t="s">
        <v>82</v>
      </c>
      <c r="B8" t="s">
        <v>83</v>
      </c>
      <c r="C8" t="s">
        <v>110</v>
      </c>
      <c r="D8" t="s">
        <v>111</v>
      </c>
      <c r="E8" t="s">
        <v>112</v>
      </c>
      <c r="F8" t="s">
        <v>113</v>
      </c>
      <c r="G8" t="s">
        <v>114</v>
      </c>
      <c r="H8" t="s">
        <v>115</v>
      </c>
      <c r="I8" t="s">
        <v>116</v>
      </c>
      <c r="J8" t="s">
        <v>91</v>
      </c>
      <c r="K8" t="s">
        <v>117</v>
      </c>
      <c r="L8" t="s">
        <v>93</v>
      </c>
    </row>
    <row r="9" spans="1:14" ht="19.95" customHeight="1">
      <c r="A9" t="s">
        <v>82</v>
      </c>
      <c r="B9" t="s">
        <v>83</v>
      </c>
      <c r="C9" t="s">
        <v>118</v>
      </c>
      <c r="D9" t="s">
        <v>119</v>
      </c>
      <c r="E9" t="s">
        <v>120</v>
      </c>
      <c r="F9" t="s">
        <v>121</v>
      </c>
      <c r="G9" t="s">
        <v>122</v>
      </c>
      <c r="H9" t="s">
        <v>123</v>
      </c>
      <c r="I9" t="s">
        <v>124</v>
      </c>
      <c r="J9" t="s">
        <v>125</v>
      </c>
      <c r="K9" t="s">
        <v>104</v>
      </c>
      <c r="L9" t="s">
        <v>93</v>
      </c>
    </row>
    <row r="10" spans="1:14" ht="19.95" customHeight="1">
      <c r="A10" t="s">
        <v>82</v>
      </c>
      <c r="B10" t="s">
        <v>126</v>
      </c>
      <c r="C10" t="s">
        <v>127</v>
      </c>
      <c r="D10" t="s">
        <v>128</v>
      </c>
      <c r="E10" t="s">
        <v>129</v>
      </c>
      <c r="F10" t="s">
        <v>130</v>
      </c>
      <c r="G10" t="s">
        <v>131</v>
      </c>
      <c r="H10" t="s">
        <v>132</v>
      </c>
      <c r="I10" t="s">
        <v>133</v>
      </c>
      <c r="J10" t="s">
        <v>91</v>
      </c>
      <c r="K10" t="s">
        <v>134</v>
      </c>
      <c r="L10" t="s">
        <v>93</v>
      </c>
    </row>
    <row r="11" spans="1:14" ht="19.95" customHeight="1">
      <c r="A11" t="s">
        <v>82</v>
      </c>
      <c r="B11" t="s">
        <v>126</v>
      </c>
      <c r="C11" t="s">
        <v>135</v>
      </c>
      <c r="D11" t="s">
        <v>136</v>
      </c>
      <c r="E11" t="s">
        <v>137</v>
      </c>
      <c r="F11" t="s">
        <v>138</v>
      </c>
      <c r="G11" t="s">
        <v>139</v>
      </c>
      <c r="H11" t="s">
        <v>140</v>
      </c>
      <c r="I11" t="s">
        <v>141</v>
      </c>
      <c r="J11" t="s">
        <v>91</v>
      </c>
      <c r="K11" t="s">
        <v>142</v>
      </c>
      <c r="L11" t="s">
        <v>93</v>
      </c>
    </row>
    <row r="12" spans="1:14" ht="19.95" customHeight="1">
      <c r="A12" t="s">
        <v>82</v>
      </c>
      <c r="B12" t="s">
        <v>126</v>
      </c>
      <c r="C12" t="s">
        <v>143</v>
      </c>
      <c r="D12" t="s">
        <v>144</v>
      </c>
      <c r="E12" t="s">
        <v>145</v>
      </c>
      <c r="F12" t="s">
        <v>146</v>
      </c>
      <c r="G12" t="s">
        <v>147</v>
      </c>
      <c r="H12" t="s">
        <v>148</v>
      </c>
      <c r="I12" t="s">
        <v>149</v>
      </c>
      <c r="J12" t="s">
        <v>101</v>
      </c>
      <c r="K12" t="s">
        <v>150</v>
      </c>
      <c r="L12" t="s">
        <v>93</v>
      </c>
    </row>
    <row r="13" spans="1:14" ht="19.95" customHeight="1">
      <c r="A13" t="s">
        <v>82</v>
      </c>
      <c r="B13" t="s">
        <v>126</v>
      </c>
      <c r="C13" t="s">
        <v>151</v>
      </c>
      <c r="D13" t="s">
        <v>152</v>
      </c>
      <c r="E13" t="s">
        <v>153</v>
      </c>
      <c r="F13" t="s">
        <v>154</v>
      </c>
      <c r="G13" t="s">
        <v>155</v>
      </c>
      <c r="H13" t="s">
        <v>156</v>
      </c>
      <c r="I13" t="s">
        <v>157</v>
      </c>
      <c r="J13" t="s">
        <v>91</v>
      </c>
      <c r="K13" t="s">
        <v>158</v>
      </c>
      <c r="L13" t="s">
        <v>93</v>
      </c>
    </row>
    <row r="14" spans="1:14" ht="19.95" customHeight="1">
      <c r="A14" t="s">
        <v>82</v>
      </c>
      <c r="B14" t="s">
        <v>126</v>
      </c>
      <c r="C14" t="s">
        <v>159</v>
      </c>
      <c r="D14" t="s">
        <v>160</v>
      </c>
      <c r="E14" t="s">
        <v>161</v>
      </c>
      <c r="F14" t="s">
        <v>162</v>
      </c>
      <c r="G14" t="s">
        <v>163</v>
      </c>
      <c r="H14" t="s">
        <v>164</v>
      </c>
      <c r="I14" t="s">
        <v>165</v>
      </c>
      <c r="J14" t="s">
        <v>91</v>
      </c>
      <c r="K14" t="s">
        <v>150</v>
      </c>
      <c r="L14" t="s">
        <v>93</v>
      </c>
    </row>
    <row r="15" spans="1:14" ht="19.95" customHeight="1">
      <c r="A15" t="s">
        <v>82</v>
      </c>
      <c r="B15" t="s">
        <v>166</v>
      </c>
      <c r="C15" t="s">
        <v>167</v>
      </c>
      <c r="D15" t="s">
        <v>168</v>
      </c>
      <c r="E15" t="s">
        <v>169</v>
      </c>
      <c r="F15" t="s">
        <v>170</v>
      </c>
      <c r="G15" t="s">
        <v>171</v>
      </c>
      <c r="H15" t="s">
        <v>172</v>
      </c>
      <c r="I15" t="s">
        <v>173</v>
      </c>
      <c r="J15" t="s">
        <v>101</v>
      </c>
      <c r="K15" t="s">
        <v>152</v>
      </c>
      <c r="L15" t="s">
        <v>93</v>
      </c>
    </row>
    <row r="16" spans="1:14" ht="19.95" customHeight="1">
      <c r="A16" t="s">
        <v>82</v>
      </c>
      <c r="B16" t="s">
        <v>166</v>
      </c>
      <c r="C16" t="s">
        <v>174</v>
      </c>
      <c r="D16" t="s">
        <v>175</v>
      </c>
      <c r="E16" t="s">
        <v>176</v>
      </c>
      <c r="F16" t="s">
        <v>177</v>
      </c>
      <c r="G16" t="s">
        <v>178</v>
      </c>
      <c r="H16" t="s">
        <v>179</v>
      </c>
      <c r="I16" t="s">
        <v>180</v>
      </c>
      <c r="J16" t="s">
        <v>91</v>
      </c>
      <c r="K16" t="s">
        <v>181</v>
      </c>
      <c r="L16" t="s">
        <v>93</v>
      </c>
    </row>
    <row r="17" spans="1:12" ht="19.95" customHeight="1">
      <c r="A17" t="s">
        <v>82</v>
      </c>
      <c r="B17" t="s">
        <v>166</v>
      </c>
      <c r="C17" t="s">
        <v>182</v>
      </c>
      <c r="D17" t="s">
        <v>183</v>
      </c>
      <c r="E17" t="s">
        <v>184</v>
      </c>
      <c r="F17" t="s">
        <v>185</v>
      </c>
      <c r="G17" t="s">
        <v>186</v>
      </c>
      <c r="H17" t="s">
        <v>187</v>
      </c>
      <c r="I17" t="s">
        <v>188</v>
      </c>
      <c r="J17" t="s">
        <v>91</v>
      </c>
      <c r="K17" t="s">
        <v>181</v>
      </c>
      <c r="L17" t="s">
        <v>93</v>
      </c>
    </row>
    <row r="18" spans="1:12" ht="19.95" customHeight="1">
      <c r="A18" t="s">
        <v>82</v>
      </c>
      <c r="B18" t="s">
        <v>166</v>
      </c>
      <c r="C18" t="s">
        <v>189</v>
      </c>
      <c r="D18" t="s">
        <v>190</v>
      </c>
      <c r="E18" t="s">
        <v>191</v>
      </c>
      <c r="F18" t="s">
        <v>192</v>
      </c>
      <c r="G18" t="s">
        <v>193</v>
      </c>
      <c r="H18" t="s">
        <v>194</v>
      </c>
      <c r="I18" t="s">
        <v>195</v>
      </c>
      <c r="J18" t="s">
        <v>91</v>
      </c>
      <c r="K18" t="s">
        <v>196</v>
      </c>
      <c r="L18" t="s">
        <v>93</v>
      </c>
    </row>
    <row r="19" spans="1:12" ht="19.95" customHeight="1">
      <c r="A19" t="s">
        <v>82</v>
      </c>
      <c r="B19" t="s">
        <v>197</v>
      </c>
      <c r="C19" t="s">
        <v>198</v>
      </c>
      <c r="D19" t="s">
        <v>199</v>
      </c>
      <c r="E19" t="s">
        <v>200</v>
      </c>
      <c r="F19" t="s">
        <v>201</v>
      </c>
      <c r="G19" t="s">
        <v>202</v>
      </c>
      <c r="H19" t="s">
        <v>203</v>
      </c>
      <c r="I19" t="s">
        <v>204</v>
      </c>
      <c r="J19" t="s">
        <v>91</v>
      </c>
      <c r="K19" t="s">
        <v>190</v>
      </c>
      <c r="L19" t="s">
        <v>93</v>
      </c>
    </row>
    <row r="20" spans="1:12" ht="19.95" customHeight="1">
      <c r="A20" t="s">
        <v>82</v>
      </c>
      <c r="B20" t="s">
        <v>197</v>
      </c>
      <c r="C20" t="s">
        <v>205</v>
      </c>
      <c r="D20" t="s">
        <v>206</v>
      </c>
      <c r="E20" t="s">
        <v>207</v>
      </c>
      <c r="F20" t="s">
        <v>208</v>
      </c>
      <c r="G20" t="s">
        <v>209</v>
      </c>
      <c r="H20" t="s">
        <v>210</v>
      </c>
      <c r="I20" t="s">
        <v>211</v>
      </c>
      <c r="J20" t="s">
        <v>101</v>
      </c>
      <c r="K20" t="s">
        <v>212</v>
      </c>
      <c r="L20" t="s">
        <v>93</v>
      </c>
    </row>
    <row r="21" spans="1:12" ht="19.95" customHeight="1">
      <c r="A21" t="s">
        <v>82</v>
      </c>
      <c r="B21" t="s">
        <v>197</v>
      </c>
      <c r="C21" t="s">
        <v>213</v>
      </c>
      <c r="D21" t="s">
        <v>214</v>
      </c>
      <c r="E21" t="s">
        <v>215</v>
      </c>
      <c r="F21" t="s">
        <v>216</v>
      </c>
      <c r="G21" t="s">
        <v>217</v>
      </c>
      <c r="H21" t="s">
        <v>218</v>
      </c>
      <c r="I21" t="s">
        <v>219</v>
      </c>
      <c r="J21" t="s">
        <v>91</v>
      </c>
      <c r="K21" t="s">
        <v>142</v>
      </c>
      <c r="L21" t="s">
        <v>93</v>
      </c>
    </row>
    <row r="22" spans="1:12" ht="19.95" customHeight="1">
      <c r="A22" t="s">
        <v>82</v>
      </c>
      <c r="B22" t="s">
        <v>197</v>
      </c>
      <c r="C22" t="s">
        <v>220</v>
      </c>
      <c r="D22" t="s">
        <v>221</v>
      </c>
      <c r="E22" t="s">
        <v>222</v>
      </c>
      <c r="F22" t="s">
        <v>223</v>
      </c>
      <c r="G22" t="s">
        <v>224</v>
      </c>
      <c r="H22" t="s">
        <v>225</v>
      </c>
      <c r="I22" t="s">
        <v>226</v>
      </c>
      <c r="J22" t="s">
        <v>91</v>
      </c>
      <c r="K22" t="s">
        <v>227</v>
      </c>
      <c r="L22" t="s">
        <v>93</v>
      </c>
    </row>
    <row r="23" spans="1:12" ht="19.95" customHeight="1">
      <c r="A23" t="s">
        <v>228</v>
      </c>
      <c r="B23" t="s">
        <v>229</v>
      </c>
      <c r="C23" t="s">
        <v>230</v>
      </c>
      <c r="D23" t="s">
        <v>231</v>
      </c>
      <c r="E23" t="s">
        <v>232</v>
      </c>
      <c r="F23" t="s">
        <v>233</v>
      </c>
      <c r="G23" t="s">
        <v>234</v>
      </c>
      <c r="H23" t="s">
        <v>235</v>
      </c>
      <c r="I23" t="s">
        <v>236</v>
      </c>
      <c r="J23" t="s">
        <v>91</v>
      </c>
      <c r="K23" t="s">
        <v>237</v>
      </c>
      <c r="L23" t="s">
        <v>93</v>
      </c>
    </row>
    <row r="24" spans="1:12" ht="19.95" customHeight="1">
      <c r="A24" t="s">
        <v>228</v>
      </c>
      <c r="B24" t="s">
        <v>229</v>
      </c>
      <c r="C24" t="s">
        <v>238</v>
      </c>
      <c r="D24" t="s">
        <v>239</v>
      </c>
      <c r="E24" t="s">
        <v>240</v>
      </c>
      <c r="F24" t="s">
        <v>241</v>
      </c>
      <c r="G24" t="s">
        <v>242</v>
      </c>
      <c r="H24" t="s">
        <v>243</v>
      </c>
      <c r="I24" t="s">
        <v>244</v>
      </c>
      <c r="J24" t="s">
        <v>91</v>
      </c>
      <c r="K24" t="s">
        <v>245</v>
      </c>
      <c r="L24" t="s">
        <v>93</v>
      </c>
    </row>
    <row r="25" spans="1:12" ht="19.95" customHeight="1">
      <c r="A25" t="s">
        <v>228</v>
      </c>
      <c r="B25" t="s">
        <v>229</v>
      </c>
      <c r="C25" t="s">
        <v>246</v>
      </c>
      <c r="D25" t="s">
        <v>247</v>
      </c>
      <c r="E25" t="s">
        <v>248</v>
      </c>
      <c r="F25" t="s">
        <v>249</v>
      </c>
      <c r="G25" t="s">
        <v>250</v>
      </c>
      <c r="H25" t="s">
        <v>251</v>
      </c>
      <c r="I25" t="s">
        <v>252</v>
      </c>
      <c r="J25" t="s">
        <v>91</v>
      </c>
      <c r="K25" t="s">
        <v>253</v>
      </c>
      <c r="L25" t="s">
        <v>93</v>
      </c>
    </row>
    <row r="26" spans="1:12" ht="19.95" customHeight="1">
      <c r="A26" t="s">
        <v>228</v>
      </c>
      <c r="B26" t="s">
        <v>254</v>
      </c>
      <c r="C26" t="s">
        <v>255</v>
      </c>
      <c r="D26" t="s">
        <v>256</v>
      </c>
      <c r="E26" t="s">
        <v>257</v>
      </c>
      <c r="F26" t="s">
        <v>258</v>
      </c>
      <c r="G26" t="s">
        <v>259</v>
      </c>
      <c r="H26" t="s">
        <v>260</v>
      </c>
      <c r="I26" t="s">
        <v>261</v>
      </c>
      <c r="J26" t="s">
        <v>91</v>
      </c>
      <c r="K26" t="s">
        <v>262</v>
      </c>
      <c r="L26" t="s">
        <v>93</v>
      </c>
    </row>
    <row r="27" spans="1:12" ht="19.95" customHeight="1">
      <c r="A27" t="s">
        <v>228</v>
      </c>
      <c r="B27" t="s">
        <v>254</v>
      </c>
      <c r="C27" t="s">
        <v>263</v>
      </c>
      <c r="D27" t="s">
        <v>264</v>
      </c>
      <c r="E27" t="s">
        <v>265</v>
      </c>
      <c r="F27" t="s">
        <v>266</v>
      </c>
      <c r="G27" t="s">
        <v>267</v>
      </c>
      <c r="H27" t="s">
        <v>268</v>
      </c>
      <c r="I27" t="s">
        <v>269</v>
      </c>
      <c r="J27" t="s">
        <v>91</v>
      </c>
      <c r="K27" t="s">
        <v>270</v>
      </c>
      <c r="L27" t="s">
        <v>93</v>
      </c>
    </row>
    <row r="28" spans="1:12" ht="19.95" customHeight="1">
      <c r="A28" t="s">
        <v>228</v>
      </c>
      <c r="B28" t="s">
        <v>254</v>
      </c>
      <c r="C28" t="s">
        <v>271</v>
      </c>
      <c r="D28" t="s">
        <v>272</v>
      </c>
      <c r="E28" t="s">
        <v>273</v>
      </c>
      <c r="F28" t="s">
        <v>274</v>
      </c>
      <c r="G28" t="s">
        <v>275</v>
      </c>
      <c r="H28" t="s">
        <v>276</v>
      </c>
      <c r="I28" t="s">
        <v>277</v>
      </c>
      <c r="J28" t="s">
        <v>91</v>
      </c>
      <c r="K28" t="s">
        <v>264</v>
      </c>
      <c r="L28" t="s">
        <v>93</v>
      </c>
    </row>
    <row r="29" spans="1:12" ht="19.95" customHeight="1">
      <c r="A29" t="s">
        <v>228</v>
      </c>
      <c r="B29" t="s">
        <v>278</v>
      </c>
      <c r="C29" t="s">
        <v>279</v>
      </c>
      <c r="D29" t="s">
        <v>280</v>
      </c>
      <c r="E29" t="s">
        <v>281</v>
      </c>
      <c r="F29" t="s">
        <v>282</v>
      </c>
      <c r="G29" t="s">
        <v>283</v>
      </c>
      <c r="H29" t="s">
        <v>284</v>
      </c>
      <c r="I29" t="s">
        <v>285</v>
      </c>
      <c r="J29" t="s">
        <v>91</v>
      </c>
      <c r="K29" t="s">
        <v>286</v>
      </c>
      <c r="L29" t="s">
        <v>93</v>
      </c>
    </row>
    <row r="30" spans="1:12" ht="19.95" customHeight="1">
      <c r="A30" t="s">
        <v>228</v>
      </c>
      <c r="B30" t="s">
        <v>278</v>
      </c>
      <c r="C30" t="s">
        <v>287</v>
      </c>
      <c r="D30" t="s">
        <v>288</v>
      </c>
      <c r="E30" t="s">
        <v>289</v>
      </c>
      <c r="F30" t="s">
        <v>290</v>
      </c>
      <c r="G30" t="s">
        <v>291</v>
      </c>
      <c r="H30" t="s">
        <v>292</v>
      </c>
      <c r="I30" t="s">
        <v>293</v>
      </c>
      <c r="J30" t="s">
        <v>91</v>
      </c>
      <c r="K30" t="s">
        <v>282</v>
      </c>
      <c r="L30" t="s">
        <v>93</v>
      </c>
    </row>
    <row r="31" spans="1:12" ht="19.95" customHeight="1">
      <c r="A31" t="s">
        <v>228</v>
      </c>
      <c r="B31" t="s">
        <v>294</v>
      </c>
      <c r="C31" t="s">
        <v>295</v>
      </c>
      <c r="D31" t="s">
        <v>296</v>
      </c>
      <c r="E31" t="s">
        <v>297</v>
      </c>
      <c r="F31" t="s">
        <v>298</v>
      </c>
      <c r="G31" t="s">
        <v>299</v>
      </c>
      <c r="H31" t="s">
        <v>300</v>
      </c>
      <c r="I31" t="s">
        <v>301</v>
      </c>
      <c r="J31" t="s">
        <v>91</v>
      </c>
      <c r="K31" t="s">
        <v>302</v>
      </c>
      <c r="L31" t="s">
        <v>93</v>
      </c>
    </row>
    <row r="32" spans="1:12" ht="19.95" customHeight="1">
      <c r="A32" t="s">
        <v>228</v>
      </c>
      <c r="B32" t="s">
        <v>294</v>
      </c>
      <c r="C32" t="s">
        <v>303</v>
      </c>
      <c r="D32" t="s">
        <v>304</v>
      </c>
      <c r="E32" t="s">
        <v>305</v>
      </c>
      <c r="F32" t="s">
        <v>306</v>
      </c>
      <c r="G32" t="s">
        <v>307</v>
      </c>
      <c r="H32" t="s">
        <v>308</v>
      </c>
      <c r="I32" t="s">
        <v>309</v>
      </c>
      <c r="J32" t="s">
        <v>91</v>
      </c>
      <c r="K32" t="s">
        <v>310</v>
      </c>
      <c r="L32" t="s">
        <v>93</v>
      </c>
    </row>
    <row r="33" spans="1:12" ht="19.95" customHeight="1">
      <c r="A33" t="s">
        <v>228</v>
      </c>
      <c r="B33" t="s">
        <v>294</v>
      </c>
      <c r="C33" t="s">
        <v>311</v>
      </c>
      <c r="D33" t="s">
        <v>221</v>
      </c>
      <c r="E33" t="s">
        <v>312</v>
      </c>
      <c r="F33" t="s">
        <v>313</v>
      </c>
      <c r="G33" t="s">
        <v>314</v>
      </c>
      <c r="H33" t="s">
        <v>225</v>
      </c>
      <c r="I33" t="s">
        <v>315</v>
      </c>
      <c r="J33" t="s">
        <v>91</v>
      </c>
      <c r="K33" t="s">
        <v>316</v>
      </c>
      <c r="L33" t="s">
        <v>93</v>
      </c>
    </row>
    <row r="34" spans="1:12" ht="19.95" customHeight="1">
      <c r="A34" t="s">
        <v>317</v>
      </c>
      <c r="B34" t="s">
        <v>318</v>
      </c>
      <c r="C34" t="s">
        <v>319</v>
      </c>
      <c r="D34" t="s">
        <v>320</v>
      </c>
      <c r="E34" t="s">
        <v>321</v>
      </c>
      <c r="F34" t="s">
        <v>320</v>
      </c>
      <c r="G34" t="s">
        <v>322</v>
      </c>
      <c r="H34" t="s">
        <v>323</v>
      </c>
      <c r="I34" t="s">
        <v>324</v>
      </c>
      <c r="J34" t="s">
        <v>101</v>
      </c>
      <c r="K34" t="s">
        <v>325</v>
      </c>
      <c r="L34" t="s">
        <v>93</v>
      </c>
    </row>
    <row r="35" spans="1:12" ht="19.95" customHeight="1">
      <c r="A35" t="s">
        <v>317</v>
      </c>
      <c r="B35" t="s">
        <v>318</v>
      </c>
      <c r="C35" t="s">
        <v>326</v>
      </c>
      <c r="D35" t="s">
        <v>327</v>
      </c>
      <c r="E35" t="s">
        <v>328</v>
      </c>
      <c r="F35" t="s">
        <v>327</v>
      </c>
      <c r="G35" t="s">
        <v>329</v>
      </c>
      <c r="H35" t="s">
        <v>330</v>
      </c>
      <c r="I35" t="s">
        <v>324</v>
      </c>
      <c r="J35" t="s">
        <v>101</v>
      </c>
      <c r="K35" t="s">
        <v>331</v>
      </c>
      <c r="L35" t="s">
        <v>93</v>
      </c>
    </row>
    <row r="36" spans="1:12" ht="19.95" customHeight="1">
      <c r="A36" t="s">
        <v>317</v>
      </c>
      <c r="B36" t="s">
        <v>332</v>
      </c>
      <c r="C36" t="s">
        <v>333</v>
      </c>
      <c r="D36" t="s">
        <v>334</v>
      </c>
      <c r="E36" t="s">
        <v>335</v>
      </c>
      <c r="F36" t="s">
        <v>336</v>
      </c>
      <c r="G36" t="s">
        <v>337</v>
      </c>
      <c r="H36" t="s">
        <v>338</v>
      </c>
      <c r="I36" t="s">
        <v>339</v>
      </c>
      <c r="J36" t="s">
        <v>91</v>
      </c>
      <c r="K36" t="s">
        <v>264</v>
      </c>
      <c r="L36" t="s">
        <v>93</v>
      </c>
    </row>
    <row r="37" spans="1:12" ht="19.95" customHeight="1">
      <c r="A37" t="s">
        <v>317</v>
      </c>
      <c r="B37" t="s">
        <v>332</v>
      </c>
      <c r="C37" t="s">
        <v>340</v>
      </c>
      <c r="D37" t="s">
        <v>341</v>
      </c>
      <c r="E37" t="s">
        <v>342</v>
      </c>
      <c r="F37" t="s">
        <v>343</v>
      </c>
      <c r="G37" t="s">
        <v>344</v>
      </c>
      <c r="H37" t="s">
        <v>345</v>
      </c>
      <c r="I37" t="s">
        <v>346</v>
      </c>
      <c r="J37" t="s">
        <v>91</v>
      </c>
      <c r="K37" t="s">
        <v>347</v>
      </c>
      <c r="L37" t="s">
        <v>93</v>
      </c>
    </row>
    <row r="38" spans="1:12" ht="19.95" customHeight="1">
      <c r="A38" t="s">
        <v>317</v>
      </c>
      <c r="B38" t="s">
        <v>348</v>
      </c>
      <c r="C38" t="s">
        <v>349</v>
      </c>
      <c r="D38" t="s">
        <v>350</v>
      </c>
      <c r="E38" t="s">
        <v>351</v>
      </c>
      <c r="F38" t="s">
        <v>352</v>
      </c>
      <c r="G38" t="s">
        <v>353</v>
      </c>
      <c r="H38" t="s">
        <v>354</v>
      </c>
      <c r="I38" t="s">
        <v>355</v>
      </c>
      <c r="J38" t="s">
        <v>91</v>
      </c>
      <c r="K38" t="s">
        <v>356</v>
      </c>
      <c r="L38" t="s">
        <v>93</v>
      </c>
    </row>
    <row r="39" spans="1:12" ht="19.95" customHeight="1">
      <c r="A39" t="s">
        <v>317</v>
      </c>
      <c r="B39" t="s">
        <v>348</v>
      </c>
      <c r="C39" t="s">
        <v>357</v>
      </c>
      <c r="D39" t="s">
        <v>358</v>
      </c>
      <c r="E39" t="s">
        <v>359</v>
      </c>
      <c r="F39" t="s">
        <v>360</v>
      </c>
      <c r="G39" t="s">
        <v>361</v>
      </c>
      <c r="H39" t="s">
        <v>362</v>
      </c>
      <c r="I39" t="s">
        <v>363</v>
      </c>
      <c r="J39" t="s">
        <v>91</v>
      </c>
      <c r="K39" t="s">
        <v>212</v>
      </c>
      <c r="L39" t="s">
        <v>93</v>
      </c>
    </row>
    <row r="40" spans="1:12" ht="19.95" customHeight="1">
      <c r="A40" t="s">
        <v>317</v>
      </c>
      <c r="B40" t="s">
        <v>364</v>
      </c>
      <c r="C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 t="s">
        <v>371</v>
      </c>
      <c r="J40" t="s">
        <v>91</v>
      </c>
      <c r="K40" t="s">
        <v>372</v>
      </c>
      <c r="L40" t="s">
        <v>93</v>
      </c>
    </row>
    <row r="41" spans="1:12" ht="19.95" customHeight="1">
      <c r="A41" t="s">
        <v>317</v>
      </c>
      <c r="B41" t="s">
        <v>364</v>
      </c>
      <c r="C41" t="s">
        <v>373</v>
      </c>
      <c r="D41" t="s">
        <v>374</v>
      </c>
      <c r="E41" t="s">
        <v>375</v>
      </c>
      <c r="F41" t="s">
        <v>376</v>
      </c>
      <c r="G41" t="s">
        <v>377</v>
      </c>
      <c r="H41" t="s">
        <v>378</v>
      </c>
      <c r="I41" t="s">
        <v>379</v>
      </c>
      <c r="J41" t="s">
        <v>101</v>
      </c>
      <c r="K41" t="s">
        <v>380</v>
      </c>
      <c r="L41" t="s">
        <v>93</v>
      </c>
    </row>
    <row r="42" spans="1:12" ht="19.95" customHeight="1">
      <c r="A42" t="s">
        <v>317</v>
      </c>
      <c r="B42" t="s">
        <v>381</v>
      </c>
      <c r="C42" t="s">
        <v>382</v>
      </c>
      <c r="D42" t="s">
        <v>383</v>
      </c>
      <c r="E42" t="s">
        <v>384</v>
      </c>
      <c r="F42" t="s">
        <v>385</v>
      </c>
      <c r="G42" t="s">
        <v>386</v>
      </c>
      <c r="H42" t="s">
        <v>387</v>
      </c>
      <c r="I42" t="s">
        <v>388</v>
      </c>
      <c r="J42" t="s">
        <v>91</v>
      </c>
      <c r="K42" t="s">
        <v>389</v>
      </c>
      <c r="L42" t="s">
        <v>93</v>
      </c>
    </row>
    <row r="43" spans="1:12" ht="19.95" customHeight="1">
      <c r="A43" t="s">
        <v>317</v>
      </c>
      <c r="B43" t="s">
        <v>381</v>
      </c>
      <c r="C43" t="s">
        <v>390</v>
      </c>
      <c r="D43" t="s">
        <v>391</v>
      </c>
      <c r="E43" t="s">
        <v>392</v>
      </c>
      <c r="F43" t="s">
        <v>393</v>
      </c>
      <c r="G43" t="s">
        <v>394</v>
      </c>
      <c r="H43" t="s">
        <v>395</v>
      </c>
      <c r="I43" t="s">
        <v>396</v>
      </c>
      <c r="J43" t="s">
        <v>91</v>
      </c>
      <c r="K43" t="s">
        <v>385</v>
      </c>
      <c r="L43" t="s">
        <v>93</v>
      </c>
    </row>
  </sheetData>
  <mergeCells count="2">
    <mergeCell ref="A1:M1"/>
    <mergeCell ref="A2:M2"/>
  </mergeCells>
  <phoneticPr fontId="8" type="noConversion"/>
  <conditionalFormatting sqref="L5:L43">
    <cfRule type="containsText" dxfId="16" priority="1" operator="containsText" text="已完成">
      <formula>NOT(ISERROR(SEARCH("已完成",L5)))</formula>
    </cfRule>
    <cfRule type="containsText" dxfId="15" priority="2" operator="containsText" text="待">
      <formula>NOT(ISERROR(SEARCH("待",L5)))</formula>
    </cfRule>
  </conditionalFormatting>
  <dataValidations count="2">
    <dataValidation type="list" allowBlank="1" showInputMessage="1" showErrorMessage="1" sqref="L5:L43" xr:uid="{00000000-0002-0000-0200-000000000000}">
      <formula1>GENERAL_STATUS</formula1>
    </dataValidation>
    <dataValidation type="list" allowBlank="1" showInputMessage="1" showErrorMessage="1" sqref="J5:J43" xr:uid="{00000000-0002-0000-0200-000001000000}">
      <formula1>OWNER_LIST</formula1>
    </dataValidation>
  </dataValidations>
  <pageMargins left="0.25" right="0.25" top="0.4" bottom="0.4" header="0.3" footer="0.3"/>
  <pageSetup fitToHeight="0" orientation="landscape"/>
  <headerFooter>
    <oddHeader>&amp;L希望之光 Hope Light&amp;C品牌營運管理系統&amp;R&amp;D</oddHeader>
    <oddFooter>&amp;L[Codex] 初版｜待確認資料不可直接對外&amp;R第 &amp;P / &amp;N 頁</oddFooter>
  </headerFooter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D3A647"/>
    <pageSetUpPr fitToPage="1"/>
  </sheetPr>
  <dimension ref="A1:Q27"/>
  <sheetViews>
    <sheetView showGridLines="0" workbookViewId="0">
      <pane ySplit="4" topLeftCell="A5" activePane="bottomLeft" state="frozen"/>
      <selection pane="bottomLeft" sqref="A1:M1"/>
    </sheetView>
  </sheetViews>
  <sheetFormatPr defaultRowHeight="19.95" customHeight="1"/>
  <cols>
    <col min="1" max="1" width="18.75" customWidth="1"/>
    <col min="2" max="2" width="13.75" customWidth="1"/>
    <col min="3" max="3" width="35.75" customWidth="1"/>
    <col min="4" max="4" width="20.75" customWidth="1"/>
    <col min="5" max="5" width="22.75" customWidth="1"/>
    <col min="6" max="6" width="12.75" customWidth="1"/>
    <col min="7" max="10" width="12.75" style="6" customWidth="1"/>
    <col min="11" max="11" width="10.75" style="4" customWidth="1"/>
    <col min="12" max="12" width="8.75" customWidth="1"/>
    <col min="13" max="14" width="10.75" customWidth="1"/>
    <col min="15" max="15" width="32.75" customWidth="1"/>
    <col min="16" max="16" width="14.75" customWidth="1"/>
    <col min="17" max="17" width="45.75" customWidth="1"/>
  </cols>
  <sheetData>
    <row r="1" spans="1:17" ht="34.049999999999997" customHeight="1">
      <c r="A1" s="9" t="s">
        <v>397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2" spans="1:17" ht="31.05" customHeight="1">
      <c r="A2" s="10" t="s">
        <v>398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4" spans="1:17" ht="19.95" customHeight="1">
      <c r="A4" t="s">
        <v>399</v>
      </c>
      <c r="B4" t="s">
        <v>400</v>
      </c>
      <c r="C4" t="s">
        <v>401</v>
      </c>
      <c r="D4" t="s">
        <v>402</v>
      </c>
      <c r="E4" t="s">
        <v>403</v>
      </c>
      <c r="F4" t="s">
        <v>404</v>
      </c>
      <c r="G4" s="6" t="s">
        <v>405</v>
      </c>
      <c r="H4" s="6" t="s">
        <v>406</v>
      </c>
      <c r="I4" s="6" t="s">
        <v>407</v>
      </c>
      <c r="J4" s="6" t="s">
        <v>408</v>
      </c>
      <c r="K4" s="4" t="s">
        <v>409</v>
      </c>
      <c r="L4" t="s">
        <v>410</v>
      </c>
      <c r="M4" t="s">
        <v>411</v>
      </c>
      <c r="N4" t="s">
        <v>412</v>
      </c>
      <c r="O4" t="s">
        <v>413</v>
      </c>
      <c r="P4" t="s">
        <v>414</v>
      </c>
      <c r="Q4" t="s">
        <v>415</v>
      </c>
    </row>
    <row r="5" spans="1:17" ht="19.95" customHeight="1">
      <c r="A5" t="s">
        <v>416</v>
      </c>
      <c r="B5" t="s">
        <v>417</v>
      </c>
      <c r="C5" t="s">
        <v>418</v>
      </c>
      <c r="D5" t="s">
        <v>419</v>
      </c>
      <c r="E5" t="s">
        <v>420</v>
      </c>
      <c r="F5" t="s">
        <v>421</v>
      </c>
      <c r="G5" s="6">
        <v>16800</v>
      </c>
      <c r="H5" s="6">
        <v>13800</v>
      </c>
      <c r="I5" s="6">
        <v>8400</v>
      </c>
      <c r="J5" s="6">
        <f>IF(OR(tblProducts[[#This Row],[建議售價]]="",tblProducts[[#This Row],[單位成本]]=""),"",tblProducts[[#This Row],[建議售價]]-tblProducts[[#This Row],[單位成本]])</f>
        <v>8400</v>
      </c>
      <c r="K5" s="4">
        <f>IFERROR(tblProducts[[#This Row],[單件毛利]]/tblProducts[[#This Row],[建議售價]],"")</f>
        <v>0.5</v>
      </c>
      <c r="L5" t="s">
        <v>422</v>
      </c>
      <c r="M5" t="s">
        <v>423</v>
      </c>
      <c r="N5">
        <v>1</v>
      </c>
      <c r="O5" t="s">
        <v>424</v>
      </c>
      <c r="P5" t="s">
        <v>425</v>
      </c>
      <c r="Q5" t="s">
        <v>426</v>
      </c>
    </row>
    <row r="6" spans="1:17" ht="19.95" customHeight="1">
      <c r="A6" t="s">
        <v>427</v>
      </c>
      <c r="B6" t="s">
        <v>417</v>
      </c>
      <c r="C6" t="s">
        <v>428</v>
      </c>
      <c r="D6" t="s">
        <v>429</v>
      </c>
      <c r="E6" t="s">
        <v>420</v>
      </c>
      <c r="F6" t="s">
        <v>421</v>
      </c>
      <c r="G6" s="6">
        <v>24900</v>
      </c>
      <c r="I6" s="6">
        <v>12450</v>
      </c>
      <c r="J6" s="6">
        <f>IF(OR(tblProducts[[#This Row],[建議售價]]="",tblProducts[[#This Row],[單位成本]]=""),"",tblProducts[[#This Row],[建議售價]]-tblProducts[[#This Row],[單位成本]])</f>
        <v>12450</v>
      </c>
      <c r="K6" s="4">
        <f>IFERROR(tblProducts[[#This Row],[單件毛利]]/tblProducts[[#This Row],[建議售價]],"")</f>
        <v>0.5</v>
      </c>
      <c r="L6" t="s">
        <v>422</v>
      </c>
      <c r="M6" t="s">
        <v>423</v>
      </c>
      <c r="N6">
        <v>1</v>
      </c>
      <c r="O6" t="s">
        <v>430</v>
      </c>
      <c r="P6" t="s">
        <v>425</v>
      </c>
      <c r="Q6" t="s">
        <v>431</v>
      </c>
    </row>
    <row r="7" spans="1:17" ht="19.95" customHeight="1">
      <c r="A7" t="s">
        <v>432</v>
      </c>
      <c r="B7" t="s">
        <v>417</v>
      </c>
      <c r="C7" t="s">
        <v>433</v>
      </c>
      <c r="D7" t="s">
        <v>434</v>
      </c>
      <c r="E7" t="s">
        <v>420</v>
      </c>
      <c r="F7" t="s">
        <v>421</v>
      </c>
      <c r="G7" s="6">
        <v>16800</v>
      </c>
      <c r="I7" s="6">
        <v>8400</v>
      </c>
      <c r="J7" s="6">
        <f>IF(OR(tblProducts[[#This Row],[建議售價]]="",tblProducts[[#This Row],[單位成本]]=""),"",tblProducts[[#This Row],[建議售價]]-tblProducts[[#This Row],[單位成本]])</f>
        <v>8400</v>
      </c>
      <c r="K7" s="4">
        <f>IFERROR(tblProducts[[#This Row],[單件毛利]]/tblProducts[[#This Row],[建議售價]],"")</f>
        <v>0.5</v>
      </c>
      <c r="L7" t="s">
        <v>422</v>
      </c>
      <c r="M7" t="s">
        <v>423</v>
      </c>
      <c r="N7">
        <v>1</v>
      </c>
      <c r="O7" t="s">
        <v>435</v>
      </c>
      <c r="P7" t="s">
        <v>425</v>
      </c>
      <c r="Q7" t="s">
        <v>436</v>
      </c>
    </row>
    <row r="8" spans="1:17" ht="19.95" customHeight="1">
      <c r="A8" t="s">
        <v>437</v>
      </c>
      <c r="B8" t="s">
        <v>417</v>
      </c>
      <c r="C8" t="s">
        <v>438</v>
      </c>
      <c r="E8" t="s">
        <v>439</v>
      </c>
      <c r="F8" t="s">
        <v>421</v>
      </c>
      <c r="G8" s="6">
        <v>10000</v>
      </c>
      <c r="I8" s="6">
        <v>5000</v>
      </c>
      <c r="J8" s="6">
        <f>IF(OR(tblProducts[[#This Row],[建議售價]]="",tblProducts[[#This Row],[單位成本]]=""),"",tblProducts[[#This Row],[建議售價]]-tblProducts[[#This Row],[單位成本]])</f>
        <v>5000</v>
      </c>
      <c r="K8" s="4">
        <f>IFERROR(tblProducts[[#This Row],[單件毛利]]/tblProducts[[#This Row],[建議售價]],"")</f>
        <v>0.5</v>
      </c>
      <c r="L8" t="s">
        <v>440</v>
      </c>
      <c r="M8" t="s">
        <v>423</v>
      </c>
      <c r="N8">
        <v>1</v>
      </c>
      <c r="O8" t="s">
        <v>435</v>
      </c>
      <c r="P8" t="s">
        <v>441</v>
      </c>
      <c r="Q8" t="s">
        <v>442</v>
      </c>
    </row>
    <row r="9" spans="1:17" ht="19.95" customHeight="1">
      <c r="A9" t="s">
        <v>443</v>
      </c>
      <c r="B9" t="s">
        <v>417</v>
      </c>
      <c r="C9" t="s">
        <v>444</v>
      </c>
      <c r="E9" t="s">
        <v>439</v>
      </c>
      <c r="F9" t="s">
        <v>421</v>
      </c>
      <c r="G9" s="6">
        <v>10000</v>
      </c>
      <c r="I9" s="6">
        <v>5000</v>
      </c>
      <c r="J9" s="6">
        <f>IF(OR(tblProducts[[#This Row],[建議售價]]="",tblProducts[[#This Row],[單位成本]]=""),"",tblProducts[[#This Row],[建議售價]]-tblProducts[[#This Row],[單位成本]])</f>
        <v>5000</v>
      </c>
      <c r="K9" s="4">
        <f>IFERROR(tblProducts[[#This Row],[單件毛利]]/tblProducts[[#This Row],[建議售價]],"")</f>
        <v>0.5</v>
      </c>
      <c r="L9" t="s">
        <v>440</v>
      </c>
      <c r="M9" t="s">
        <v>423</v>
      </c>
      <c r="N9">
        <v>1</v>
      </c>
      <c r="O9" t="s">
        <v>435</v>
      </c>
      <c r="P9" t="s">
        <v>441</v>
      </c>
      <c r="Q9" t="s">
        <v>445</v>
      </c>
    </row>
    <row r="10" spans="1:17" ht="19.95" customHeight="1">
      <c r="A10" t="s">
        <v>446</v>
      </c>
      <c r="B10" t="s">
        <v>447</v>
      </c>
      <c r="C10" t="s">
        <v>448</v>
      </c>
      <c r="E10" t="s">
        <v>449</v>
      </c>
      <c r="F10" t="s">
        <v>421</v>
      </c>
      <c r="G10" s="6">
        <v>10000</v>
      </c>
      <c r="I10" s="6">
        <v>5000</v>
      </c>
      <c r="J10" s="6">
        <f>IF(OR(tblProducts[[#This Row],[建議售價]]="",tblProducts[[#This Row],[單位成本]]=""),"",tblProducts[[#This Row],[建議售價]]-tblProducts[[#This Row],[單位成本]])</f>
        <v>5000</v>
      </c>
      <c r="K10" s="4">
        <f>IFERROR(tblProducts[[#This Row],[單件毛利]]/tblProducts[[#This Row],[建議售價]],"")</f>
        <v>0.5</v>
      </c>
      <c r="L10" t="s">
        <v>422</v>
      </c>
      <c r="M10" t="s">
        <v>423</v>
      </c>
      <c r="N10">
        <v>1</v>
      </c>
      <c r="O10" t="s">
        <v>435</v>
      </c>
      <c r="P10" t="s">
        <v>441</v>
      </c>
      <c r="Q10" t="s">
        <v>450</v>
      </c>
    </row>
    <row r="11" spans="1:17" ht="19.95" customHeight="1">
      <c r="A11" t="s">
        <v>451</v>
      </c>
      <c r="B11" t="s">
        <v>417</v>
      </c>
      <c r="C11" t="s">
        <v>452</v>
      </c>
      <c r="E11" t="s">
        <v>439</v>
      </c>
      <c r="F11" t="s">
        <v>421</v>
      </c>
      <c r="G11" s="6">
        <v>10000</v>
      </c>
      <c r="I11" s="6">
        <v>5000</v>
      </c>
      <c r="J11" s="6">
        <f>IF(OR(tblProducts[[#This Row],[建議售價]]="",tblProducts[[#This Row],[單位成本]]=""),"",tblProducts[[#This Row],[建議售價]]-tblProducts[[#This Row],[單位成本]])</f>
        <v>5000</v>
      </c>
      <c r="K11" s="4">
        <f>IFERROR(tblProducts[[#This Row],[單件毛利]]/tblProducts[[#This Row],[建議售價]],"")</f>
        <v>0.5</v>
      </c>
      <c r="L11" t="s">
        <v>422</v>
      </c>
      <c r="M11" t="s">
        <v>423</v>
      </c>
      <c r="N11">
        <v>1</v>
      </c>
      <c r="O11" t="s">
        <v>435</v>
      </c>
      <c r="P11" t="s">
        <v>441</v>
      </c>
      <c r="Q11" t="s">
        <v>453</v>
      </c>
    </row>
    <row r="12" spans="1:17" ht="19.95" customHeight="1">
      <c r="A12" t="s">
        <v>454</v>
      </c>
      <c r="B12" t="s">
        <v>447</v>
      </c>
      <c r="C12" t="s">
        <v>455</v>
      </c>
      <c r="D12" t="s">
        <v>456</v>
      </c>
      <c r="E12" t="s">
        <v>439</v>
      </c>
      <c r="F12" t="s">
        <v>421</v>
      </c>
      <c r="J12" s="6" t="str">
        <f>IF(OR(tblProducts[[#This Row],[建議售價]]="",tblProducts[[#This Row],[單位成本]]=""),"",tblProducts[[#This Row],[建議售價]]-tblProducts[[#This Row],[單位成本]])</f>
        <v/>
      </c>
      <c r="K12" s="4" t="str">
        <f>IFERROR(tblProducts[[#This Row],[單件毛利]]/tblProducts[[#This Row],[建議售價]],"")</f>
        <v/>
      </c>
      <c r="L12" t="s">
        <v>422</v>
      </c>
      <c r="M12" t="s">
        <v>423</v>
      </c>
      <c r="N12">
        <v>1</v>
      </c>
      <c r="O12" t="s">
        <v>457</v>
      </c>
      <c r="P12" t="s">
        <v>458</v>
      </c>
      <c r="Q12" t="s">
        <v>459</v>
      </c>
    </row>
    <row r="13" spans="1:17" ht="19.95" customHeight="1">
      <c r="A13" t="s">
        <v>460</v>
      </c>
      <c r="B13" t="s">
        <v>461</v>
      </c>
      <c r="C13" t="s">
        <v>462</v>
      </c>
      <c r="D13" t="s">
        <v>463</v>
      </c>
      <c r="E13" t="s">
        <v>464</v>
      </c>
      <c r="F13" t="s">
        <v>465</v>
      </c>
      <c r="G13" s="6">
        <v>139</v>
      </c>
      <c r="H13" s="6">
        <v>100</v>
      </c>
      <c r="I13" s="6">
        <v>65</v>
      </c>
      <c r="J13" s="6">
        <f>IF(OR(tblProducts[[#This Row],[建議售價]]="",tblProducts[[#This Row],[單位成本]]=""),"",tblProducts[[#This Row],[建議售價]]-tblProducts[[#This Row],[單位成本]])</f>
        <v>74</v>
      </c>
      <c r="K13" s="4">
        <f>IFERROR(tblProducts[[#This Row],[單件毛利]]/tblProducts[[#This Row],[建議售價]],"")</f>
        <v>0.53237410071942448</v>
      </c>
      <c r="L13" t="s">
        <v>466</v>
      </c>
      <c r="M13" t="s">
        <v>423</v>
      </c>
      <c r="N13">
        <v>10</v>
      </c>
      <c r="O13" t="s">
        <v>435</v>
      </c>
      <c r="P13" t="s">
        <v>425</v>
      </c>
      <c r="Q13" t="s">
        <v>467</v>
      </c>
    </row>
    <row r="14" spans="1:17" ht="19.95" customHeight="1">
      <c r="A14" t="s">
        <v>468</v>
      </c>
      <c r="B14" t="s">
        <v>461</v>
      </c>
      <c r="C14" t="s">
        <v>469</v>
      </c>
      <c r="E14" t="s">
        <v>464</v>
      </c>
      <c r="F14" t="s">
        <v>465</v>
      </c>
      <c r="G14" s="6">
        <v>139</v>
      </c>
      <c r="H14" s="6">
        <v>100</v>
      </c>
      <c r="I14" s="6">
        <v>65</v>
      </c>
      <c r="J14" s="6">
        <f>IF(OR(tblProducts[[#This Row],[建議售價]]="",tblProducts[[#This Row],[單位成本]]=""),"",tblProducts[[#This Row],[建議售價]]-tblProducts[[#This Row],[單位成本]])</f>
        <v>74</v>
      </c>
      <c r="K14" s="4">
        <f>IFERROR(tblProducts[[#This Row],[單件毛利]]/tblProducts[[#This Row],[建議售價]],"")</f>
        <v>0.53237410071942448</v>
      </c>
      <c r="L14" t="s">
        <v>466</v>
      </c>
      <c r="M14" t="s">
        <v>423</v>
      </c>
      <c r="N14">
        <v>10</v>
      </c>
      <c r="O14" t="s">
        <v>435</v>
      </c>
      <c r="P14" t="s">
        <v>425</v>
      </c>
    </row>
    <row r="15" spans="1:17" ht="19.95" customHeight="1">
      <c r="A15" t="s">
        <v>470</v>
      </c>
      <c r="B15" t="s">
        <v>461</v>
      </c>
      <c r="C15" t="s">
        <v>471</v>
      </c>
      <c r="E15" t="s">
        <v>464</v>
      </c>
      <c r="F15" t="s">
        <v>465</v>
      </c>
      <c r="G15" s="6">
        <v>139</v>
      </c>
      <c r="H15" s="6">
        <v>100</v>
      </c>
      <c r="I15" s="6">
        <v>65</v>
      </c>
      <c r="J15" s="6">
        <f>IF(OR(tblProducts[[#This Row],[建議售價]]="",tblProducts[[#This Row],[單位成本]]=""),"",tblProducts[[#This Row],[建議售價]]-tblProducts[[#This Row],[單位成本]])</f>
        <v>74</v>
      </c>
      <c r="K15" s="4">
        <f>IFERROR(tblProducts[[#This Row],[單件毛利]]/tblProducts[[#This Row],[建議售價]],"")</f>
        <v>0.53237410071942448</v>
      </c>
      <c r="L15" t="s">
        <v>466</v>
      </c>
      <c r="M15" t="s">
        <v>423</v>
      </c>
      <c r="N15">
        <v>10</v>
      </c>
      <c r="O15" t="s">
        <v>435</v>
      </c>
      <c r="P15" t="s">
        <v>425</v>
      </c>
    </row>
    <row r="16" spans="1:17" ht="19.95" customHeight="1">
      <c r="A16" t="s">
        <v>472</v>
      </c>
      <c r="B16" t="s">
        <v>461</v>
      </c>
      <c r="C16" t="s">
        <v>473</v>
      </c>
      <c r="E16" t="s">
        <v>464</v>
      </c>
      <c r="F16" t="s">
        <v>465</v>
      </c>
      <c r="G16" s="6">
        <v>139</v>
      </c>
      <c r="H16" s="6">
        <v>100</v>
      </c>
      <c r="I16" s="6">
        <v>65</v>
      </c>
      <c r="J16" s="6">
        <f>IF(OR(tblProducts[[#This Row],[建議售價]]="",tblProducts[[#This Row],[單位成本]]=""),"",tblProducts[[#This Row],[建議售價]]-tblProducts[[#This Row],[單位成本]])</f>
        <v>74</v>
      </c>
      <c r="K16" s="4">
        <f>IFERROR(tblProducts[[#This Row],[單件毛利]]/tblProducts[[#This Row],[建議售價]],"")</f>
        <v>0.53237410071942448</v>
      </c>
      <c r="L16" t="s">
        <v>466</v>
      </c>
      <c r="M16" t="s">
        <v>423</v>
      </c>
      <c r="N16">
        <v>10</v>
      </c>
      <c r="O16" t="s">
        <v>435</v>
      </c>
      <c r="P16" t="s">
        <v>425</v>
      </c>
    </row>
    <row r="17" spans="1:17" ht="19.95" customHeight="1">
      <c r="A17" t="s">
        <v>474</v>
      </c>
      <c r="B17" t="s">
        <v>461</v>
      </c>
      <c r="C17" t="s">
        <v>475</v>
      </c>
      <c r="E17" t="s">
        <v>464</v>
      </c>
      <c r="F17" t="s">
        <v>465</v>
      </c>
      <c r="G17" s="6">
        <v>139</v>
      </c>
      <c r="H17" s="6">
        <v>100</v>
      </c>
      <c r="I17" s="6">
        <v>65</v>
      </c>
      <c r="J17" s="6">
        <f>IF(OR(tblProducts[[#This Row],[建議售價]]="",tblProducts[[#This Row],[單位成本]]=""),"",tblProducts[[#This Row],[建議售價]]-tblProducts[[#This Row],[單位成本]])</f>
        <v>74</v>
      </c>
      <c r="K17" s="4">
        <f>IFERROR(tblProducts[[#This Row],[單件毛利]]/tblProducts[[#This Row],[建議售價]],"")</f>
        <v>0.53237410071942448</v>
      </c>
      <c r="L17" t="s">
        <v>466</v>
      </c>
      <c r="M17" t="s">
        <v>423</v>
      </c>
      <c r="N17">
        <v>10</v>
      </c>
      <c r="O17" t="s">
        <v>435</v>
      </c>
      <c r="P17" t="s">
        <v>425</v>
      </c>
    </row>
    <row r="18" spans="1:17" ht="19.95" customHeight="1">
      <c r="A18" t="s">
        <v>476</v>
      </c>
      <c r="B18" t="s">
        <v>461</v>
      </c>
      <c r="C18" t="s">
        <v>477</v>
      </c>
      <c r="E18" t="s">
        <v>464</v>
      </c>
      <c r="F18" t="s">
        <v>465</v>
      </c>
      <c r="G18" s="6">
        <v>139</v>
      </c>
      <c r="H18" s="6">
        <v>100</v>
      </c>
      <c r="I18" s="6">
        <v>65</v>
      </c>
      <c r="J18" s="6">
        <f>IF(OR(tblProducts[[#This Row],[建議售價]]="",tblProducts[[#This Row],[單位成本]]=""),"",tblProducts[[#This Row],[建議售價]]-tblProducts[[#This Row],[單位成本]])</f>
        <v>74</v>
      </c>
      <c r="K18" s="4">
        <f>IFERROR(tblProducts[[#This Row],[單件毛利]]/tblProducts[[#This Row],[建議售價]],"")</f>
        <v>0.53237410071942448</v>
      </c>
      <c r="L18" t="s">
        <v>466</v>
      </c>
      <c r="M18" t="s">
        <v>423</v>
      </c>
      <c r="N18">
        <v>10</v>
      </c>
      <c r="O18" t="s">
        <v>435</v>
      </c>
      <c r="P18" t="s">
        <v>425</v>
      </c>
      <c r="Q18" t="s">
        <v>478</v>
      </c>
    </row>
    <row r="19" spans="1:17" ht="19.95" customHeight="1">
      <c r="A19" t="s">
        <v>479</v>
      </c>
      <c r="B19" t="s">
        <v>461</v>
      </c>
      <c r="C19" t="s">
        <v>480</v>
      </c>
      <c r="E19" t="s">
        <v>464</v>
      </c>
      <c r="F19" t="s">
        <v>465</v>
      </c>
      <c r="G19" s="6">
        <v>139</v>
      </c>
      <c r="H19" s="6">
        <v>100</v>
      </c>
      <c r="I19" s="6">
        <v>65</v>
      </c>
      <c r="J19" s="6">
        <f>IF(OR(tblProducts[[#This Row],[建議售價]]="",tblProducts[[#This Row],[單位成本]]=""),"",tblProducts[[#This Row],[建議售價]]-tblProducts[[#This Row],[單位成本]])</f>
        <v>74</v>
      </c>
      <c r="K19" s="4">
        <f>IFERROR(tblProducts[[#This Row],[單件毛利]]/tblProducts[[#This Row],[建議售價]],"")</f>
        <v>0.53237410071942448</v>
      </c>
      <c r="L19" t="s">
        <v>466</v>
      </c>
      <c r="M19" t="s">
        <v>423</v>
      </c>
      <c r="N19">
        <v>10</v>
      </c>
      <c r="O19" t="s">
        <v>435</v>
      </c>
      <c r="P19" t="s">
        <v>425</v>
      </c>
      <c r="Q19" t="s">
        <v>481</v>
      </c>
    </row>
    <row r="20" spans="1:17" ht="19.95" customHeight="1">
      <c r="A20" t="s">
        <v>482</v>
      </c>
      <c r="B20" t="s">
        <v>461</v>
      </c>
      <c r="C20" t="s">
        <v>483</v>
      </c>
      <c r="E20" t="s">
        <v>464</v>
      </c>
      <c r="F20" t="s">
        <v>465</v>
      </c>
      <c r="G20" s="6">
        <v>139</v>
      </c>
      <c r="H20" s="6">
        <v>100</v>
      </c>
      <c r="I20" s="6">
        <v>65</v>
      </c>
      <c r="J20" s="6">
        <f>IF(OR(tblProducts[[#This Row],[建議售價]]="",tblProducts[[#This Row],[單位成本]]=""),"",tblProducts[[#This Row],[建議售價]]-tblProducts[[#This Row],[單位成本]])</f>
        <v>74</v>
      </c>
      <c r="K20" s="4">
        <f>IFERROR(tblProducts[[#This Row],[單件毛利]]/tblProducts[[#This Row],[建議售價]],"")</f>
        <v>0.53237410071942448</v>
      </c>
      <c r="L20" t="s">
        <v>466</v>
      </c>
      <c r="M20" t="s">
        <v>423</v>
      </c>
      <c r="N20">
        <v>10</v>
      </c>
      <c r="O20" t="s">
        <v>435</v>
      </c>
      <c r="P20" t="s">
        <v>425</v>
      </c>
      <c r="Q20" t="s">
        <v>484</v>
      </c>
    </row>
    <row r="21" spans="1:17" ht="19.95" customHeight="1">
      <c r="A21" t="s">
        <v>485</v>
      </c>
      <c r="B21" t="s">
        <v>461</v>
      </c>
      <c r="C21" t="s">
        <v>486</v>
      </c>
      <c r="E21" t="s">
        <v>464</v>
      </c>
      <c r="F21" t="s">
        <v>465</v>
      </c>
      <c r="G21" s="6">
        <v>139</v>
      </c>
      <c r="H21" s="6">
        <v>100</v>
      </c>
      <c r="I21" s="6">
        <v>65</v>
      </c>
      <c r="J21" s="6">
        <f>IF(OR(tblProducts[[#This Row],[建議售價]]="",tblProducts[[#This Row],[單位成本]]=""),"",tblProducts[[#This Row],[建議售價]]-tblProducts[[#This Row],[單位成本]])</f>
        <v>74</v>
      </c>
      <c r="K21" s="4">
        <f>IFERROR(tblProducts[[#This Row],[單件毛利]]/tblProducts[[#This Row],[建議售價]],"")</f>
        <v>0.53237410071942448</v>
      </c>
      <c r="L21" t="s">
        <v>466</v>
      </c>
      <c r="M21" t="s">
        <v>423</v>
      </c>
      <c r="N21">
        <v>10</v>
      </c>
      <c r="O21" t="s">
        <v>435</v>
      </c>
      <c r="P21" t="s">
        <v>425</v>
      </c>
      <c r="Q21" t="s">
        <v>487</v>
      </c>
    </row>
    <row r="22" spans="1:17" ht="19.95" customHeight="1">
      <c r="A22" t="s">
        <v>488</v>
      </c>
      <c r="B22" t="s">
        <v>461</v>
      </c>
      <c r="C22" t="s">
        <v>489</v>
      </c>
      <c r="D22" t="s">
        <v>490</v>
      </c>
      <c r="E22" t="s">
        <v>464</v>
      </c>
      <c r="F22" t="s">
        <v>465</v>
      </c>
      <c r="G22" s="6">
        <v>139</v>
      </c>
      <c r="H22" s="6">
        <v>100</v>
      </c>
      <c r="I22" s="6">
        <v>65</v>
      </c>
      <c r="J22" s="6">
        <f>IF(OR(tblProducts[[#This Row],[建議售價]]="",tblProducts[[#This Row],[單位成本]]=""),"",tblProducts[[#This Row],[建議售價]]-tblProducts[[#This Row],[單位成本]])</f>
        <v>74</v>
      </c>
      <c r="K22" s="4">
        <f>IFERROR(tblProducts[[#This Row],[單件毛利]]/tblProducts[[#This Row],[建議售價]],"")</f>
        <v>0.53237410071942448</v>
      </c>
      <c r="L22" t="s">
        <v>466</v>
      </c>
      <c r="M22" t="s">
        <v>423</v>
      </c>
      <c r="N22">
        <v>10</v>
      </c>
      <c r="O22" t="s">
        <v>435</v>
      </c>
      <c r="P22" t="s">
        <v>425</v>
      </c>
      <c r="Q22" t="s">
        <v>491</v>
      </c>
    </row>
    <row r="23" spans="1:17" ht="19.95" customHeight="1">
      <c r="A23" t="s">
        <v>492</v>
      </c>
      <c r="B23" t="s">
        <v>493</v>
      </c>
      <c r="C23" t="s">
        <v>494</v>
      </c>
      <c r="D23" t="s">
        <v>495</v>
      </c>
      <c r="E23" t="s">
        <v>496</v>
      </c>
      <c r="F23" t="s">
        <v>497</v>
      </c>
      <c r="G23" s="6">
        <v>2980</v>
      </c>
      <c r="I23" s="6">
        <v>1615</v>
      </c>
      <c r="J23" s="6">
        <f>IF(OR(tblProducts[[#This Row],[建議售價]]="",tblProducts[[#This Row],[單位成本]]=""),"",tblProducts[[#This Row],[建議售價]]-tblProducts[[#This Row],[單位成本]])</f>
        <v>1365</v>
      </c>
      <c r="K23" s="4">
        <f>IFERROR(tblProducts[[#This Row],[單件毛利]]/tblProducts[[#This Row],[建議售價]],"")</f>
        <v>0.45805369127516776</v>
      </c>
      <c r="L23" t="s">
        <v>498</v>
      </c>
      <c r="M23" t="s">
        <v>423</v>
      </c>
      <c r="N23">
        <v>5</v>
      </c>
      <c r="O23" t="s">
        <v>499</v>
      </c>
      <c r="P23" t="s">
        <v>421</v>
      </c>
      <c r="Q23" t="s">
        <v>500</v>
      </c>
    </row>
    <row r="24" spans="1:17" ht="19.95" customHeight="1">
      <c r="A24" t="s">
        <v>501</v>
      </c>
      <c r="B24" t="s">
        <v>502</v>
      </c>
      <c r="C24" t="s">
        <v>503</v>
      </c>
      <c r="D24" t="s">
        <v>504</v>
      </c>
      <c r="E24" t="s">
        <v>505</v>
      </c>
      <c r="F24" t="s">
        <v>465</v>
      </c>
      <c r="G24" s="6">
        <v>2980</v>
      </c>
      <c r="J24" s="6" t="str">
        <f>IF(OR(tblProducts[[#This Row],[建議售價]]="",tblProducts[[#This Row],[單位成本]]=""),"",tblProducts[[#This Row],[建議售價]]-tblProducts[[#This Row],[單位成本]])</f>
        <v/>
      </c>
      <c r="K24" s="4" t="str">
        <f>IFERROR(tblProducts[[#This Row],[單件毛利]]/tblProducts[[#This Row],[建議售價]],"")</f>
        <v/>
      </c>
      <c r="L24" t="s">
        <v>506</v>
      </c>
      <c r="M24" t="s">
        <v>507</v>
      </c>
      <c r="O24" t="s">
        <v>499</v>
      </c>
      <c r="P24" t="s">
        <v>425</v>
      </c>
      <c r="Q24" t="s">
        <v>508</v>
      </c>
    </row>
    <row r="25" spans="1:17" ht="19.95" customHeight="1">
      <c r="A25" t="s">
        <v>509</v>
      </c>
      <c r="B25" t="s">
        <v>502</v>
      </c>
      <c r="C25" t="s">
        <v>510</v>
      </c>
      <c r="D25" t="s">
        <v>49</v>
      </c>
      <c r="E25" t="s">
        <v>449</v>
      </c>
      <c r="F25" t="s">
        <v>465</v>
      </c>
      <c r="G25" s="6">
        <v>1980</v>
      </c>
      <c r="J25" s="6" t="str">
        <f>IF(OR(tblProducts[[#This Row],[建議售價]]="",tblProducts[[#This Row],[單位成本]]=""),"",tblProducts[[#This Row],[建議售價]]-tblProducts[[#This Row],[單位成本]])</f>
        <v/>
      </c>
      <c r="K25" s="4" t="str">
        <f>IFERROR(tblProducts[[#This Row],[單件毛利]]/tblProducts[[#This Row],[建議售價]],"")</f>
        <v/>
      </c>
      <c r="L25" t="s">
        <v>506</v>
      </c>
      <c r="M25" t="s">
        <v>507</v>
      </c>
      <c r="O25" t="s">
        <v>511</v>
      </c>
      <c r="P25" t="s">
        <v>421</v>
      </c>
      <c r="Q25" t="s">
        <v>512</v>
      </c>
    </row>
    <row r="26" spans="1:17" ht="19.95" customHeight="1">
      <c r="A26" t="s">
        <v>513</v>
      </c>
      <c r="B26" t="s">
        <v>514</v>
      </c>
      <c r="C26" t="s">
        <v>515</v>
      </c>
      <c r="D26" t="s">
        <v>516</v>
      </c>
      <c r="E26" t="s">
        <v>517</v>
      </c>
      <c r="F26" t="s">
        <v>465</v>
      </c>
      <c r="G26" s="6">
        <v>19800</v>
      </c>
      <c r="J26" s="6" t="str">
        <f>IF(OR(tblProducts[[#This Row],[建議售價]]="",tblProducts[[#This Row],[單位成本]]=""),"",tblProducts[[#This Row],[建議售價]]-tblProducts[[#This Row],[單位成本]])</f>
        <v/>
      </c>
      <c r="K26" s="4" t="str">
        <f>IFERROR(tblProducts[[#This Row],[單件毛利]]/tblProducts[[#This Row],[建議售價]],"")</f>
        <v/>
      </c>
      <c r="L26" t="s">
        <v>518</v>
      </c>
      <c r="M26" t="s">
        <v>507</v>
      </c>
      <c r="O26" t="s">
        <v>499</v>
      </c>
      <c r="P26" t="s">
        <v>421</v>
      </c>
      <c r="Q26" t="s">
        <v>519</v>
      </c>
    </row>
    <row r="27" spans="1:17" ht="19.95" customHeight="1">
      <c r="A27" t="s">
        <v>520</v>
      </c>
      <c r="B27" t="s">
        <v>514</v>
      </c>
      <c r="C27" t="s">
        <v>521</v>
      </c>
      <c r="D27" t="s">
        <v>522</v>
      </c>
      <c r="E27" t="s">
        <v>517</v>
      </c>
      <c r="F27" t="s">
        <v>465</v>
      </c>
      <c r="G27" s="6">
        <v>29800</v>
      </c>
      <c r="J27" s="6" t="str">
        <f>IF(OR(tblProducts[[#This Row],[建議售價]]="",tblProducts[[#This Row],[單位成本]]=""),"",tblProducts[[#This Row],[建議售價]]-tblProducts[[#This Row],[單位成本]])</f>
        <v/>
      </c>
      <c r="K27" s="4" t="str">
        <f>IFERROR(tblProducts[[#This Row],[單件毛利]]/tblProducts[[#This Row],[建議售價]],"")</f>
        <v/>
      </c>
      <c r="L27" t="s">
        <v>518</v>
      </c>
      <c r="M27" t="s">
        <v>507</v>
      </c>
      <c r="O27" t="s">
        <v>499</v>
      </c>
      <c r="P27" t="s">
        <v>421</v>
      </c>
      <c r="Q27" t="s">
        <v>523</v>
      </c>
    </row>
  </sheetData>
  <mergeCells count="2">
    <mergeCell ref="A1:M1"/>
    <mergeCell ref="A2:M2"/>
  </mergeCells>
  <phoneticPr fontId="8" type="noConversion"/>
  <conditionalFormatting sqref="F5:F27">
    <cfRule type="containsText" dxfId="14" priority="2" operator="containsText" text="待確認">
      <formula>NOT(ISERROR(SEARCH("待確認",F5)))</formula>
    </cfRule>
  </conditionalFormatting>
  <conditionalFormatting sqref="P5:P27">
    <cfRule type="containsText" dxfId="13" priority="1" operator="containsText" text="待">
      <formula>NOT(ISERROR(SEARCH("待",P5)))</formula>
    </cfRule>
  </conditionalFormatting>
  <dataValidations count="1">
    <dataValidation type="list" allowBlank="1" showInputMessage="1" showErrorMessage="1" sqref="M5:M27" xr:uid="{00000000-0002-0000-0300-000000000000}">
      <formula1>YES_NO_UNKNOWN</formula1>
    </dataValidation>
  </dataValidations>
  <pageMargins left="0.25" right="0.25" top="0.4" bottom="0.4" header="0.3" footer="0.3"/>
  <pageSetup fitToHeight="0" orientation="landscape"/>
  <headerFooter>
    <oddHeader>&amp;L希望之光 Hope Light&amp;C品牌營運管理系統&amp;R&amp;D</oddHeader>
    <oddFooter>&amp;L[Codex] 初版｜待確認資料不可直接對外&amp;R第 &amp;P / &amp;N 頁</oddFooter>
  </headerFooter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43B5A"/>
    <pageSetUpPr fitToPage="1"/>
  </sheetPr>
  <dimension ref="A1:M27"/>
  <sheetViews>
    <sheetView showGridLines="0" workbookViewId="0">
      <pane ySplit="4" topLeftCell="A11" activePane="bottomLeft" state="frozen"/>
      <selection pane="bottomLeft" sqref="A1:M1"/>
    </sheetView>
  </sheetViews>
  <sheetFormatPr defaultRowHeight="19.95" customHeight="1"/>
  <cols>
    <col min="1" max="1" width="18.75" customWidth="1"/>
    <col min="2" max="2" width="30.75" customWidth="1"/>
    <col min="3" max="3" width="42.75" customWidth="1"/>
    <col min="4" max="4" width="34.75" customWidth="1"/>
    <col min="5" max="5" width="55.75" customWidth="1"/>
    <col min="6" max="6" width="48.75" customWidth="1"/>
    <col min="7" max="7" width="30.75" customWidth="1"/>
    <col min="8" max="8" width="55.75" customWidth="1"/>
    <col min="9" max="9" width="52.75" customWidth="1"/>
    <col min="10" max="10" width="10.75" customWidth="1"/>
    <col min="11" max="11" width="14.75" customWidth="1"/>
  </cols>
  <sheetData>
    <row r="1" spans="1:13" ht="34.049999999999997" customHeight="1">
      <c r="A1" s="9" t="s">
        <v>524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2" spans="1:13" ht="31.05" customHeight="1">
      <c r="A2" s="10" t="s">
        <v>525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4" spans="1:13" ht="19.95" customHeight="1">
      <c r="A4" t="s">
        <v>399</v>
      </c>
      <c r="B4" t="s">
        <v>526</v>
      </c>
      <c r="C4" t="s">
        <v>527</v>
      </c>
      <c r="D4" t="s">
        <v>528</v>
      </c>
      <c r="E4" t="s">
        <v>529</v>
      </c>
      <c r="F4" t="s">
        <v>530</v>
      </c>
      <c r="G4" t="s">
        <v>531</v>
      </c>
      <c r="H4" t="s">
        <v>532</v>
      </c>
      <c r="I4" t="s">
        <v>533</v>
      </c>
      <c r="J4" t="s">
        <v>534</v>
      </c>
      <c r="K4" t="s">
        <v>535</v>
      </c>
    </row>
    <row r="5" spans="1:13" ht="19.95" customHeight="1">
      <c r="A5" t="s">
        <v>416</v>
      </c>
      <c r="B5" t="s">
        <v>418</v>
      </c>
      <c r="C5" t="s">
        <v>536</v>
      </c>
      <c r="D5" t="s">
        <v>537</v>
      </c>
      <c r="E5" t="s">
        <v>538</v>
      </c>
      <c r="F5" t="s">
        <v>539</v>
      </c>
      <c r="G5" t="s">
        <v>540</v>
      </c>
      <c r="H5" t="s">
        <v>541</v>
      </c>
      <c r="I5" t="s">
        <v>542</v>
      </c>
      <c r="J5" t="s">
        <v>543</v>
      </c>
      <c r="K5" t="s">
        <v>425</v>
      </c>
    </row>
    <row r="6" spans="1:13" ht="19.95" customHeight="1">
      <c r="A6" t="s">
        <v>427</v>
      </c>
      <c r="B6" t="s">
        <v>428</v>
      </c>
      <c r="C6" t="s">
        <v>544</v>
      </c>
      <c r="D6" t="s">
        <v>545</v>
      </c>
      <c r="E6" t="s">
        <v>546</v>
      </c>
      <c r="F6" t="s">
        <v>547</v>
      </c>
      <c r="G6" t="s">
        <v>548</v>
      </c>
      <c r="H6" t="s">
        <v>549</v>
      </c>
      <c r="I6" t="s">
        <v>550</v>
      </c>
      <c r="J6" t="s">
        <v>543</v>
      </c>
      <c r="K6" t="s">
        <v>425</v>
      </c>
    </row>
    <row r="7" spans="1:13" ht="19.95" customHeight="1">
      <c r="A7" t="s">
        <v>432</v>
      </c>
      <c r="B7" t="s">
        <v>433</v>
      </c>
      <c r="C7" t="s">
        <v>551</v>
      </c>
      <c r="D7" t="s">
        <v>552</v>
      </c>
      <c r="E7" t="s">
        <v>553</v>
      </c>
      <c r="F7" t="s">
        <v>554</v>
      </c>
      <c r="G7" t="s">
        <v>555</v>
      </c>
      <c r="H7" t="s">
        <v>556</v>
      </c>
      <c r="I7" t="s">
        <v>557</v>
      </c>
      <c r="J7" t="s">
        <v>543</v>
      </c>
      <c r="K7" t="s">
        <v>558</v>
      </c>
    </row>
    <row r="8" spans="1:13" ht="19.95" customHeight="1">
      <c r="A8" t="s">
        <v>437</v>
      </c>
      <c r="B8" t="s">
        <v>438</v>
      </c>
      <c r="C8" t="s">
        <v>559</v>
      </c>
      <c r="D8" t="s">
        <v>552</v>
      </c>
      <c r="E8" t="s">
        <v>441</v>
      </c>
      <c r="F8" t="s">
        <v>441</v>
      </c>
      <c r="G8" t="s">
        <v>560</v>
      </c>
      <c r="H8" t="s">
        <v>561</v>
      </c>
      <c r="I8" t="s">
        <v>421</v>
      </c>
      <c r="J8" t="s">
        <v>543</v>
      </c>
      <c r="K8" t="s">
        <v>558</v>
      </c>
    </row>
    <row r="9" spans="1:13" ht="19.95" customHeight="1">
      <c r="A9" t="s">
        <v>443</v>
      </c>
      <c r="B9" t="s">
        <v>444</v>
      </c>
      <c r="C9" t="s">
        <v>559</v>
      </c>
      <c r="D9" t="s">
        <v>552</v>
      </c>
      <c r="E9" t="s">
        <v>441</v>
      </c>
      <c r="F9" t="s">
        <v>441</v>
      </c>
      <c r="G9" t="s">
        <v>560</v>
      </c>
      <c r="H9" t="s">
        <v>562</v>
      </c>
      <c r="I9" t="s">
        <v>421</v>
      </c>
      <c r="J9" t="s">
        <v>543</v>
      </c>
      <c r="K9" t="s">
        <v>558</v>
      </c>
    </row>
    <row r="10" spans="1:13" ht="19.95" customHeight="1">
      <c r="A10" t="s">
        <v>446</v>
      </c>
      <c r="B10" t="s">
        <v>448</v>
      </c>
      <c r="C10" t="s">
        <v>563</v>
      </c>
      <c r="D10" t="s">
        <v>564</v>
      </c>
      <c r="E10" t="s">
        <v>565</v>
      </c>
      <c r="F10" t="s">
        <v>566</v>
      </c>
      <c r="G10" t="s">
        <v>567</v>
      </c>
      <c r="H10" t="s">
        <v>568</v>
      </c>
      <c r="I10" t="s">
        <v>421</v>
      </c>
      <c r="J10" t="s">
        <v>543</v>
      </c>
      <c r="K10" t="s">
        <v>558</v>
      </c>
    </row>
    <row r="11" spans="1:13" ht="19.95" customHeight="1">
      <c r="A11" t="s">
        <v>451</v>
      </c>
      <c r="B11" t="s">
        <v>452</v>
      </c>
      <c r="C11" t="s">
        <v>569</v>
      </c>
      <c r="D11" t="s">
        <v>570</v>
      </c>
      <c r="E11" t="s">
        <v>571</v>
      </c>
      <c r="F11" t="s">
        <v>572</v>
      </c>
      <c r="G11" t="s">
        <v>573</v>
      </c>
      <c r="H11" t="s">
        <v>574</v>
      </c>
      <c r="I11" t="s">
        <v>421</v>
      </c>
      <c r="J11" t="s">
        <v>543</v>
      </c>
      <c r="K11" t="s">
        <v>558</v>
      </c>
    </row>
    <row r="12" spans="1:13" ht="19.95" customHeight="1">
      <c r="A12" t="s">
        <v>454</v>
      </c>
      <c r="B12" t="s">
        <v>455</v>
      </c>
      <c r="C12" t="s">
        <v>575</v>
      </c>
      <c r="D12" t="s">
        <v>576</v>
      </c>
      <c r="E12" t="s">
        <v>577</v>
      </c>
      <c r="F12" t="s">
        <v>578</v>
      </c>
      <c r="G12" t="s">
        <v>579</v>
      </c>
      <c r="H12" t="s">
        <v>580</v>
      </c>
      <c r="I12" t="s">
        <v>581</v>
      </c>
      <c r="J12" t="s">
        <v>543</v>
      </c>
      <c r="K12" t="s">
        <v>458</v>
      </c>
    </row>
    <row r="13" spans="1:13" ht="19.95" customHeight="1">
      <c r="A13" t="s">
        <v>460</v>
      </c>
      <c r="B13" t="s">
        <v>462</v>
      </c>
      <c r="C13" t="s">
        <v>582</v>
      </c>
      <c r="D13" t="s">
        <v>583</v>
      </c>
      <c r="E13" t="s">
        <v>584</v>
      </c>
      <c r="F13" t="s">
        <v>585</v>
      </c>
      <c r="G13" t="s">
        <v>586</v>
      </c>
      <c r="H13" t="s">
        <v>587</v>
      </c>
      <c r="I13" t="s">
        <v>588</v>
      </c>
      <c r="J13" t="s">
        <v>589</v>
      </c>
      <c r="K13" t="s">
        <v>425</v>
      </c>
    </row>
    <row r="14" spans="1:13" ht="19.95" customHeight="1">
      <c r="A14" t="s">
        <v>468</v>
      </c>
      <c r="B14" t="s">
        <v>469</v>
      </c>
      <c r="C14" t="s">
        <v>590</v>
      </c>
      <c r="D14" t="s">
        <v>591</v>
      </c>
      <c r="E14" t="s">
        <v>584</v>
      </c>
      <c r="F14" t="s">
        <v>592</v>
      </c>
      <c r="G14" t="s">
        <v>593</v>
      </c>
      <c r="H14" t="s">
        <v>587</v>
      </c>
      <c r="I14" t="s">
        <v>588</v>
      </c>
      <c r="J14" t="s">
        <v>589</v>
      </c>
      <c r="K14" t="s">
        <v>425</v>
      </c>
    </row>
    <row r="15" spans="1:13" ht="19.95" customHeight="1">
      <c r="A15" t="s">
        <v>470</v>
      </c>
      <c r="B15" t="s">
        <v>471</v>
      </c>
      <c r="C15" t="s">
        <v>594</v>
      </c>
      <c r="D15" t="s">
        <v>595</v>
      </c>
      <c r="E15" t="s">
        <v>584</v>
      </c>
      <c r="F15" t="s">
        <v>596</v>
      </c>
      <c r="G15" t="s">
        <v>597</v>
      </c>
      <c r="H15" t="s">
        <v>587</v>
      </c>
      <c r="I15" t="s">
        <v>588</v>
      </c>
      <c r="J15" t="s">
        <v>589</v>
      </c>
      <c r="K15" t="s">
        <v>425</v>
      </c>
    </row>
    <row r="16" spans="1:13" ht="19.95" customHeight="1">
      <c r="A16" t="s">
        <v>472</v>
      </c>
      <c r="B16" t="s">
        <v>473</v>
      </c>
      <c r="C16" t="s">
        <v>598</v>
      </c>
      <c r="D16" t="s">
        <v>599</v>
      </c>
      <c r="E16" t="s">
        <v>584</v>
      </c>
      <c r="F16" t="s">
        <v>600</v>
      </c>
      <c r="G16" t="s">
        <v>601</v>
      </c>
      <c r="H16" t="s">
        <v>587</v>
      </c>
      <c r="I16" t="s">
        <v>588</v>
      </c>
      <c r="J16" t="s">
        <v>589</v>
      </c>
      <c r="K16" t="s">
        <v>425</v>
      </c>
    </row>
    <row r="17" spans="1:11" ht="19.95" customHeight="1">
      <c r="A17" t="s">
        <v>474</v>
      </c>
      <c r="B17" t="s">
        <v>475</v>
      </c>
      <c r="C17" t="s">
        <v>602</v>
      </c>
      <c r="D17" t="s">
        <v>603</v>
      </c>
      <c r="E17" t="s">
        <v>584</v>
      </c>
      <c r="F17" t="s">
        <v>604</v>
      </c>
      <c r="G17" t="s">
        <v>605</v>
      </c>
      <c r="H17" t="s">
        <v>587</v>
      </c>
      <c r="I17" t="s">
        <v>588</v>
      </c>
      <c r="J17" t="s">
        <v>589</v>
      </c>
      <c r="K17" t="s">
        <v>425</v>
      </c>
    </row>
    <row r="18" spans="1:11" ht="19.95" customHeight="1">
      <c r="A18" t="s">
        <v>476</v>
      </c>
      <c r="B18" t="s">
        <v>477</v>
      </c>
      <c r="C18" t="s">
        <v>606</v>
      </c>
      <c r="D18" t="s">
        <v>607</v>
      </c>
      <c r="E18" t="s">
        <v>584</v>
      </c>
      <c r="F18" t="s">
        <v>608</v>
      </c>
      <c r="G18" t="s">
        <v>609</v>
      </c>
      <c r="H18" t="s">
        <v>587</v>
      </c>
      <c r="I18" t="s">
        <v>588</v>
      </c>
      <c r="J18" t="s">
        <v>589</v>
      </c>
      <c r="K18" t="s">
        <v>425</v>
      </c>
    </row>
    <row r="19" spans="1:11" ht="19.95" customHeight="1">
      <c r="A19" t="s">
        <v>479</v>
      </c>
      <c r="B19" t="s">
        <v>480</v>
      </c>
      <c r="C19" t="s">
        <v>610</v>
      </c>
      <c r="D19" t="s">
        <v>611</v>
      </c>
      <c r="E19" t="s">
        <v>584</v>
      </c>
      <c r="F19" t="s">
        <v>612</v>
      </c>
      <c r="G19" t="s">
        <v>613</v>
      </c>
      <c r="H19" t="s">
        <v>587</v>
      </c>
      <c r="I19" t="s">
        <v>588</v>
      </c>
      <c r="J19" t="s">
        <v>589</v>
      </c>
      <c r="K19" t="s">
        <v>425</v>
      </c>
    </row>
    <row r="20" spans="1:11" ht="19.95" customHeight="1">
      <c r="A20" t="s">
        <v>482</v>
      </c>
      <c r="B20" t="s">
        <v>483</v>
      </c>
      <c r="C20" t="s">
        <v>614</v>
      </c>
      <c r="D20" t="s">
        <v>615</v>
      </c>
      <c r="E20" t="s">
        <v>584</v>
      </c>
      <c r="F20" t="s">
        <v>616</v>
      </c>
      <c r="G20" t="s">
        <v>617</v>
      </c>
      <c r="H20" t="s">
        <v>587</v>
      </c>
      <c r="I20" t="s">
        <v>588</v>
      </c>
      <c r="J20" t="s">
        <v>589</v>
      </c>
      <c r="K20" t="s">
        <v>425</v>
      </c>
    </row>
    <row r="21" spans="1:11" ht="19.95" customHeight="1">
      <c r="A21" t="s">
        <v>485</v>
      </c>
      <c r="B21" t="s">
        <v>486</v>
      </c>
      <c r="C21" t="s">
        <v>618</v>
      </c>
      <c r="D21" t="s">
        <v>619</v>
      </c>
      <c r="E21" t="s">
        <v>584</v>
      </c>
      <c r="F21" t="s">
        <v>620</v>
      </c>
      <c r="G21" t="s">
        <v>621</v>
      </c>
      <c r="H21" t="s">
        <v>587</v>
      </c>
      <c r="I21" t="s">
        <v>588</v>
      </c>
      <c r="J21" t="s">
        <v>589</v>
      </c>
      <c r="K21" t="s">
        <v>425</v>
      </c>
    </row>
    <row r="22" spans="1:11" ht="19.95" customHeight="1">
      <c r="A22" t="s">
        <v>488</v>
      </c>
      <c r="B22" t="s">
        <v>489</v>
      </c>
      <c r="C22" t="s">
        <v>622</v>
      </c>
      <c r="D22" t="s">
        <v>623</v>
      </c>
      <c r="E22" t="s">
        <v>584</v>
      </c>
      <c r="F22" t="s">
        <v>624</v>
      </c>
      <c r="G22" t="s">
        <v>625</v>
      </c>
      <c r="H22" t="s">
        <v>587</v>
      </c>
      <c r="I22" t="s">
        <v>588</v>
      </c>
      <c r="J22" t="s">
        <v>589</v>
      </c>
      <c r="K22" t="s">
        <v>425</v>
      </c>
    </row>
    <row r="23" spans="1:11" ht="19.95" customHeight="1">
      <c r="A23" t="s">
        <v>492</v>
      </c>
      <c r="B23" t="s">
        <v>494</v>
      </c>
      <c r="C23" t="s">
        <v>626</v>
      </c>
      <c r="D23" t="s">
        <v>627</v>
      </c>
      <c r="E23" t="s">
        <v>628</v>
      </c>
      <c r="F23" t="s">
        <v>629</v>
      </c>
      <c r="G23" t="s">
        <v>630</v>
      </c>
      <c r="H23" t="s">
        <v>631</v>
      </c>
      <c r="I23" t="s">
        <v>632</v>
      </c>
      <c r="J23" t="s">
        <v>589</v>
      </c>
      <c r="K23" t="s">
        <v>421</v>
      </c>
    </row>
    <row r="24" spans="1:11" ht="19.95" customHeight="1">
      <c r="A24" t="s">
        <v>501</v>
      </c>
      <c r="B24" t="s">
        <v>503</v>
      </c>
      <c r="C24" t="s">
        <v>633</v>
      </c>
      <c r="D24" t="s">
        <v>634</v>
      </c>
      <c r="E24" t="s">
        <v>635</v>
      </c>
      <c r="F24" t="s">
        <v>636</v>
      </c>
      <c r="G24" t="s">
        <v>637</v>
      </c>
      <c r="H24" t="s">
        <v>638</v>
      </c>
      <c r="I24" t="s">
        <v>639</v>
      </c>
      <c r="J24" t="s">
        <v>543</v>
      </c>
      <c r="K24" t="s">
        <v>425</v>
      </c>
    </row>
    <row r="25" spans="1:11" ht="19.95" customHeight="1">
      <c r="A25" t="s">
        <v>509</v>
      </c>
      <c r="B25" t="s">
        <v>640</v>
      </c>
      <c r="C25" t="s">
        <v>641</v>
      </c>
      <c r="D25" t="s">
        <v>642</v>
      </c>
      <c r="E25" t="s">
        <v>643</v>
      </c>
      <c r="F25" t="s">
        <v>644</v>
      </c>
      <c r="G25" t="s">
        <v>645</v>
      </c>
      <c r="H25" t="s">
        <v>646</v>
      </c>
      <c r="I25" t="s">
        <v>647</v>
      </c>
      <c r="J25" t="s">
        <v>589</v>
      </c>
      <c r="K25" t="s">
        <v>421</v>
      </c>
    </row>
    <row r="26" spans="1:11" ht="19.95" customHeight="1">
      <c r="A26" t="s">
        <v>513</v>
      </c>
      <c r="B26" t="s">
        <v>515</v>
      </c>
      <c r="C26" t="s">
        <v>648</v>
      </c>
      <c r="D26" t="s">
        <v>649</v>
      </c>
      <c r="E26" t="s">
        <v>650</v>
      </c>
      <c r="F26" t="s">
        <v>651</v>
      </c>
      <c r="G26" t="s">
        <v>652</v>
      </c>
      <c r="H26" t="s">
        <v>653</v>
      </c>
      <c r="I26" t="s">
        <v>654</v>
      </c>
      <c r="J26" t="s">
        <v>589</v>
      </c>
      <c r="K26" t="s">
        <v>421</v>
      </c>
    </row>
    <row r="27" spans="1:11" ht="19.95" customHeight="1">
      <c r="A27" t="s">
        <v>520</v>
      </c>
      <c r="B27" t="s">
        <v>521</v>
      </c>
      <c r="C27" t="s">
        <v>655</v>
      </c>
      <c r="D27" t="s">
        <v>656</v>
      </c>
      <c r="E27" t="s">
        <v>657</v>
      </c>
      <c r="F27" t="s">
        <v>658</v>
      </c>
      <c r="G27" t="s">
        <v>659</v>
      </c>
      <c r="H27" t="s">
        <v>660</v>
      </c>
      <c r="I27" t="s">
        <v>661</v>
      </c>
      <c r="J27" t="s">
        <v>589</v>
      </c>
      <c r="K27" t="s">
        <v>421</v>
      </c>
    </row>
  </sheetData>
  <mergeCells count="2">
    <mergeCell ref="A1:M1"/>
    <mergeCell ref="A2:M2"/>
  </mergeCells>
  <phoneticPr fontId="8" type="noConversion"/>
  <conditionalFormatting sqref="J5:J27">
    <cfRule type="containsText" dxfId="12" priority="1" operator="containsText" text="高">
      <formula>NOT(ISERROR(SEARCH("高",J5)))</formula>
    </cfRule>
  </conditionalFormatting>
  <conditionalFormatting sqref="K5:K27">
    <cfRule type="containsText" dxfId="11" priority="2" operator="containsText" text="待">
      <formula>NOT(ISERROR(SEARCH("待",K5)))</formula>
    </cfRule>
  </conditionalFormatting>
  <dataValidations count="1">
    <dataValidation type="list" allowBlank="1" showInputMessage="1" showErrorMessage="1" sqref="J5:J27" xr:uid="{00000000-0002-0000-0400-000000000000}">
      <formula1>RISK_LEVEL</formula1>
    </dataValidation>
  </dataValidations>
  <pageMargins left="0.25" right="0.25" top="0.4" bottom="0.4" header="0.3" footer="0.3"/>
  <pageSetup fitToHeight="0" orientation="landscape"/>
  <headerFooter>
    <oddHeader>&amp;L希望之光 Hope Light&amp;C品牌營運管理系統&amp;R&amp;D</oddHeader>
    <oddFooter>&amp;L[Codex] 初版｜待確認資料不可直接對外&amp;R第 &amp;P / &amp;N 頁</oddFooter>
  </headerFooter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43B5A"/>
    <pageSetUpPr fitToPage="1"/>
  </sheetPr>
  <dimension ref="A1:M304"/>
  <sheetViews>
    <sheetView showGridLines="0" workbookViewId="0">
      <pane ySplit="4" topLeftCell="A5" activePane="bottomLeft" state="frozen"/>
      <selection pane="bottomLeft" sqref="A1:M1"/>
    </sheetView>
  </sheetViews>
  <sheetFormatPr defaultRowHeight="19.95" customHeight="1"/>
  <cols>
    <col min="1" max="1" width="16.75" customWidth="1"/>
    <col min="2" max="2" width="13.75" style="8" customWidth="1"/>
    <col min="3" max="3" width="18.75" customWidth="1"/>
    <col min="4" max="4" width="34.75" customWidth="1"/>
    <col min="5" max="5" width="14.75" customWidth="1"/>
    <col min="6" max="6" width="10.75" customWidth="1"/>
    <col min="7" max="8" width="14.75" style="6" customWidth="1"/>
    <col min="9" max="9" width="18.75" customWidth="1"/>
    <col min="10" max="10" width="24.75" customWidth="1"/>
    <col min="11" max="11" width="14.75" customWidth="1"/>
    <col min="12" max="12" width="45.75" customWidth="1"/>
  </cols>
  <sheetData>
    <row r="1" spans="1:13" ht="34.049999999999997" customHeight="1">
      <c r="A1" s="9" t="s">
        <v>662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2" spans="1:13" ht="31.05" customHeight="1">
      <c r="A2" s="10" t="s">
        <v>663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4" spans="1:13" ht="19.95" customHeight="1">
      <c r="A4" t="s">
        <v>664</v>
      </c>
      <c r="B4" s="8" t="s">
        <v>665</v>
      </c>
      <c r="C4" t="s">
        <v>399</v>
      </c>
      <c r="D4" t="s">
        <v>666</v>
      </c>
      <c r="E4" t="s">
        <v>667</v>
      </c>
      <c r="F4" t="s">
        <v>668</v>
      </c>
      <c r="G4" s="6" t="s">
        <v>407</v>
      </c>
      <c r="H4" s="6" t="s">
        <v>669</v>
      </c>
      <c r="I4" t="s">
        <v>670</v>
      </c>
      <c r="J4" t="s">
        <v>671</v>
      </c>
      <c r="K4" t="s">
        <v>672</v>
      </c>
      <c r="L4" t="s">
        <v>415</v>
      </c>
    </row>
    <row r="5" spans="1:13" ht="19.95" customHeight="1">
      <c r="D5" t="str">
        <f>IFERROR(INDEX(tblProducts[正式名稱],MATCH(tblInventory[[#This Row],[SKU]],tblProducts[SKU],0)),"")</f>
        <v/>
      </c>
      <c r="G5" s="6" t="str">
        <f>IFERROR(INDEX(tblProducts[單位成本],MATCH(tblInventory[[#This Row],[SKU]],tblProducts[SKU],0)),"")</f>
        <v/>
      </c>
      <c r="H5" s="6" t="str">
        <f>IF(OR(tblInventory[[#This Row],[數量]]="",tblInventory[[#This Row],[單位成本]]=""),"",tblInventory[[#This Row],[數量]]*tblInventory[[#This Row],[單位成本]])</f>
        <v/>
      </c>
    </row>
    <row r="6" spans="1:13" ht="19.95" customHeight="1">
      <c r="D6" t="str">
        <f>IFERROR(INDEX(tblProducts[正式名稱],MATCH(tblInventory[[#This Row],[SKU]],tblProducts[SKU],0)),"")</f>
        <v/>
      </c>
      <c r="G6" s="6" t="str">
        <f>IFERROR(INDEX(tblProducts[單位成本],MATCH(tblInventory[[#This Row],[SKU]],tblProducts[SKU],0)),"")</f>
        <v/>
      </c>
      <c r="H6" s="6" t="str">
        <f>IF(OR(tblInventory[[#This Row],[數量]]="",tblInventory[[#This Row],[單位成本]]=""),"",tblInventory[[#This Row],[數量]]*tblInventory[[#This Row],[單位成本]])</f>
        <v/>
      </c>
    </row>
    <row r="7" spans="1:13" ht="19.95" customHeight="1">
      <c r="D7" t="str">
        <f>IFERROR(INDEX(tblProducts[正式名稱],MATCH(tblInventory[[#This Row],[SKU]],tblProducts[SKU],0)),"")</f>
        <v/>
      </c>
      <c r="G7" s="6" t="str">
        <f>IFERROR(INDEX(tblProducts[單位成本],MATCH(tblInventory[[#This Row],[SKU]],tblProducts[SKU],0)),"")</f>
        <v/>
      </c>
      <c r="H7" s="6" t="str">
        <f>IF(OR(tblInventory[[#This Row],[數量]]="",tblInventory[[#This Row],[單位成本]]=""),"",tblInventory[[#This Row],[數量]]*tblInventory[[#This Row],[單位成本]])</f>
        <v/>
      </c>
    </row>
    <row r="8" spans="1:13" ht="19.95" customHeight="1">
      <c r="D8" t="str">
        <f>IFERROR(INDEX(tblProducts[正式名稱],MATCH(tblInventory[[#This Row],[SKU]],tblProducts[SKU],0)),"")</f>
        <v/>
      </c>
      <c r="G8" s="6" t="str">
        <f>IFERROR(INDEX(tblProducts[單位成本],MATCH(tblInventory[[#This Row],[SKU]],tblProducts[SKU],0)),"")</f>
        <v/>
      </c>
      <c r="H8" s="6" t="str">
        <f>IF(OR(tblInventory[[#This Row],[數量]]="",tblInventory[[#This Row],[單位成本]]=""),"",tblInventory[[#This Row],[數量]]*tblInventory[[#This Row],[單位成本]])</f>
        <v/>
      </c>
    </row>
    <row r="9" spans="1:13" ht="19.95" customHeight="1">
      <c r="D9" t="str">
        <f>IFERROR(INDEX(tblProducts[正式名稱],MATCH(tblInventory[[#This Row],[SKU]],tblProducts[SKU],0)),"")</f>
        <v/>
      </c>
      <c r="G9" s="6" t="str">
        <f>IFERROR(INDEX(tblProducts[單位成本],MATCH(tblInventory[[#This Row],[SKU]],tblProducts[SKU],0)),"")</f>
        <v/>
      </c>
      <c r="H9" s="6" t="str">
        <f>IF(OR(tblInventory[[#This Row],[數量]]="",tblInventory[[#This Row],[單位成本]]=""),"",tblInventory[[#This Row],[數量]]*tblInventory[[#This Row],[單位成本]])</f>
        <v/>
      </c>
    </row>
    <row r="10" spans="1:13" ht="19.95" customHeight="1">
      <c r="D10" t="str">
        <f>IFERROR(INDEX(tblProducts[正式名稱],MATCH(tblInventory[[#This Row],[SKU]],tblProducts[SKU],0)),"")</f>
        <v/>
      </c>
      <c r="G10" s="6" t="str">
        <f>IFERROR(INDEX(tblProducts[單位成本],MATCH(tblInventory[[#This Row],[SKU]],tblProducts[SKU],0)),"")</f>
        <v/>
      </c>
      <c r="H10" s="6" t="str">
        <f>IF(OR(tblInventory[[#This Row],[數量]]="",tblInventory[[#This Row],[單位成本]]=""),"",tblInventory[[#This Row],[數量]]*tblInventory[[#This Row],[單位成本]])</f>
        <v/>
      </c>
    </row>
    <row r="11" spans="1:13" ht="19.95" customHeight="1">
      <c r="D11" t="str">
        <f>IFERROR(INDEX(tblProducts[正式名稱],MATCH(tblInventory[[#This Row],[SKU]],tblProducts[SKU],0)),"")</f>
        <v/>
      </c>
      <c r="G11" s="6" t="str">
        <f>IFERROR(INDEX(tblProducts[單位成本],MATCH(tblInventory[[#This Row],[SKU]],tblProducts[SKU],0)),"")</f>
        <v/>
      </c>
      <c r="H11" s="6" t="str">
        <f>IF(OR(tblInventory[[#This Row],[數量]]="",tblInventory[[#This Row],[單位成本]]=""),"",tblInventory[[#This Row],[數量]]*tblInventory[[#This Row],[單位成本]])</f>
        <v/>
      </c>
    </row>
    <row r="12" spans="1:13" ht="19.95" customHeight="1">
      <c r="D12" t="str">
        <f>IFERROR(INDEX(tblProducts[正式名稱],MATCH(tblInventory[[#This Row],[SKU]],tblProducts[SKU],0)),"")</f>
        <v/>
      </c>
      <c r="G12" s="6" t="str">
        <f>IFERROR(INDEX(tblProducts[單位成本],MATCH(tblInventory[[#This Row],[SKU]],tblProducts[SKU],0)),"")</f>
        <v/>
      </c>
      <c r="H12" s="6" t="str">
        <f>IF(OR(tblInventory[[#This Row],[數量]]="",tblInventory[[#This Row],[單位成本]]=""),"",tblInventory[[#This Row],[數量]]*tblInventory[[#This Row],[單位成本]])</f>
        <v/>
      </c>
    </row>
    <row r="13" spans="1:13" ht="19.95" customHeight="1">
      <c r="D13" t="str">
        <f>IFERROR(INDEX(tblProducts[正式名稱],MATCH(tblInventory[[#This Row],[SKU]],tblProducts[SKU],0)),"")</f>
        <v/>
      </c>
      <c r="G13" s="6" t="str">
        <f>IFERROR(INDEX(tblProducts[單位成本],MATCH(tblInventory[[#This Row],[SKU]],tblProducts[SKU],0)),"")</f>
        <v/>
      </c>
      <c r="H13" s="6" t="str">
        <f>IF(OR(tblInventory[[#This Row],[數量]]="",tblInventory[[#This Row],[單位成本]]=""),"",tblInventory[[#This Row],[數量]]*tblInventory[[#This Row],[單位成本]])</f>
        <v/>
      </c>
    </row>
    <row r="14" spans="1:13" ht="19.95" customHeight="1">
      <c r="D14" t="str">
        <f>IFERROR(INDEX(tblProducts[正式名稱],MATCH(tblInventory[[#This Row],[SKU]],tblProducts[SKU],0)),"")</f>
        <v/>
      </c>
      <c r="G14" s="6" t="str">
        <f>IFERROR(INDEX(tblProducts[單位成本],MATCH(tblInventory[[#This Row],[SKU]],tblProducts[SKU],0)),"")</f>
        <v/>
      </c>
      <c r="H14" s="6" t="str">
        <f>IF(OR(tblInventory[[#This Row],[數量]]="",tblInventory[[#This Row],[單位成本]]=""),"",tblInventory[[#This Row],[數量]]*tblInventory[[#This Row],[單位成本]])</f>
        <v/>
      </c>
    </row>
    <row r="15" spans="1:13" ht="19.95" customHeight="1">
      <c r="D15" t="str">
        <f>IFERROR(INDEX(tblProducts[正式名稱],MATCH(tblInventory[[#This Row],[SKU]],tblProducts[SKU],0)),"")</f>
        <v/>
      </c>
      <c r="G15" s="6" t="str">
        <f>IFERROR(INDEX(tblProducts[單位成本],MATCH(tblInventory[[#This Row],[SKU]],tblProducts[SKU],0)),"")</f>
        <v/>
      </c>
      <c r="H15" s="6" t="str">
        <f>IF(OR(tblInventory[[#This Row],[數量]]="",tblInventory[[#This Row],[單位成本]]=""),"",tblInventory[[#This Row],[數量]]*tblInventory[[#This Row],[單位成本]])</f>
        <v/>
      </c>
    </row>
    <row r="16" spans="1:13" ht="19.95" customHeight="1">
      <c r="D16" t="str">
        <f>IFERROR(INDEX(tblProducts[正式名稱],MATCH(tblInventory[[#This Row],[SKU]],tblProducts[SKU],0)),"")</f>
        <v/>
      </c>
      <c r="G16" s="6" t="str">
        <f>IFERROR(INDEX(tblProducts[單位成本],MATCH(tblInventory[[#This Row],[SKU]],tblProducts[SKU],0)),"")</f>
        <v/>
      </c>
      <c r="H16" s="6" t="str">
        <f>IF(OR(tblInventory[[#This Row],[數量]]="",tblInventory[[#This Row],[單位成本]]=""),"",tblInventory[[#This Row],[數量]]*tblInventory[[#This Row],[單位成本]])</f>
        <v/>
      </c>
    </row>
    <row r="17" spans="4:8" ht="19.95" customHeight="1">
      <c r="D17" t="str">
        <f>IFERROR(INDEX(tblProducts[正式名稱],MATCH(tblInventory[[#This Row],[SKU]],tblProducts[SKU],0)),"")</f>
        <v/>
      </c>
      <c r="G17" s="6" t="str">
        <f>IFERROR(INDEX(tblProducts[單位成本],MATCH(tblInventory[[#This Row],[SKU]],tblProducts[SKU],0)),"")</f>
        <v/>
      </c>
      <c r="H17" s="6" t="str">
        <f>IF(OR(tblInventory[[#This Row],[數量]]="",tblInventory[[#This Row],[單位成本]]=""),"",tblInventory[[#This Row],[數量]]*tblInventory[[#This Row],[單位成本]])</f>
        <v/>
      </c>
    </row>
    <row r="18" spans="4:8" ht="19.95" customHeight="1">
      <c r="D18" t="str">
        <f>IFERROR(INDEX(tblProducts[正式名稱],MATCH(tblInventory[[#This Row],[SKU]],tblProducts[SKU],0)),"")</f>
        <v/>
      </c>
      <c r="G18" s="6" t="str">
        <f>IFERROR(INDEX(tblProducts[單位成本],MATCH(tblInventory[[#This Row],[SKU]],tblProducts[SKU],0)),"")</f>
        <v/>
      </c>
      <c r="H18" s="6" t="str">
        <f>IF(OR(tblInventory[[#This Row],[數量]]="",tblInventory[[#This Row],[單位成本]]=""),"",tblInventory[[#This Row],[數量]]*tblInventory[[#This Row],[單位成本]])</f>
        <v/>
      </c>
    </row>
    <row r="19" spans="4:8" ht="19.95" customHeight="1">
      <c r="D19" t="str">
        <f>IFERROR(INDEX(tblProducts[正式名稱],MATCH(tblInventory[[#This Row],[SKU]],tblProducts[SKU],0)),"")</f>
        <v/>
      </c>
      <c r="G19" s="6" t="str">
        <f>IFERROR(INDEX(tblProducts[單位成本],MATCH(tblInventory[[#This Row],[SKU]],tblProducts[SKU],0)),"")</f>
        <v/>
      </c>
      <c r="H19" s="6" t="str">
        <f>IF(OR(tblInventory[[#This Row],[數量]]="",tblInventory[[#This Row],[單位成本]]=""),"",tblInventory[[#This Row],[數量]]*tblInventory[[#This Row],[單位成本]])</f>
        <v/>
      </c>
    </row>
    <row r="20" spans="4:8" ht="19.95" customHeight="1">
      <c r="D20" t="str">
        <f>IFERROR(INDEX(tblProducts[正式名稱],MATCH(tblInventory[[#This Row],[SKU]],tblProducts[SKU],0)),"")</f>
        <v/>
      </c>
      <c r="G20" s="6" t="str">
        <f>IFERROR(INDEX(tblProducts[單位成本],MATCH(tblInventory[[#This Row],[SKU]],tblProducts[SKU],0)),"")</f>
        <v/>
      </c>
      <c r="H20" s="6" t="str">
        <f>IF(OR(tblInventory[[#This Row],[數量]]="",tblInventory[[#This Row],[單位成本]]=""),"",tblInventory[[#This Row],[數量]]*tblInventory[[#This Row],[單位成本]])</f>
        <v/>
      </c>
    </row>
    <row r="21" spans="4:8" ht="19.95" customHeight="1">
      <c r="D21" t="str">
        <f>IFERROR(INDEX(tblProducts[正式名稱],MATCH(tblInventory[[#This Row],[SKU]],tblProducts[SKU],0)),"")</f>
        <v/>
      </c>
      <c r="G21" s="6" t="str">
        <f>IFERROR(INDEX(tblProducts[單位成本],MATCH(tblInventory[[#This Row],[SKU]],tblProducts[SKU],0)),"")</f>
        <v/>
      </c>
      <c r="H21" s="6" t="str">
        <f>IF(OR(tblInventory[[#This Row],[數量]]="",tblInventory[[#This Row],[單位成本]]=""),"",tblInventory[[#This Row],[數量]]*tblInventory[[#This Row],[單位成本]])</f>
        <v/>
      </c>
    </row>
    <row r="22" spans="4:8" ht="19.95" customHeight="1">
      <c r="D22" t="str">
        <f>IFERROR(INDEX(tblProducts[正式名稱],MATCH(tblInventory[[#This Row],[SKU]],tblProducts[SKU],0)),"")</f>
        <v/>
      </c>
      <c r="G22" s="6" t="str">
        <f>IFERROR(INDEX(tblProducts[單位成本],MATCH(tblInventory[[#This Row],[SKU]],tblProducts[SKU],0)),"")</f>
        <v/>
      </c>
      <c r="H22" s="6" t="str">
        <f>IF(OR(tblInventory[[#This Row],[數量]]="",tblInventory[[#This Row],[單位成本]]=""),"",tblInventory[[#This Row],[數量]]*tblInventory[[#This Row],[單位成本]])</f>
        <v/>
      </c>
    </row>
    <row r="23" spans="4:8" ht="19.95" customHeight="1">
      <c r="D23" t="str">
        <f>IFERROR(INDEX(tblProducts[正式名稱],MATCH(tblInventory[[#This Row],[SKU]],tblProducts[SKU],0)),"")</f>
        <v/>
      </c>
      <c r="G23" s="6" t="str">
        <f>IFERROR(INDEX(tblProducts[單位成本],MATCH(tblInventory[[#This Row],[SKU]],tblProducts[SKU],0)),"")</f>
        <v/>
      </c>
      <c r="H23" s="6" t="str">
        <f>IF(OR(tblInventory[[#This Row],[數量]]="",tblInventory[[#This Row],[單位成本]]=""),"",tblInventory[[#This Row],[數量]]*tblInventory[[#This Row],[單位成本]])</f>
        <v/>
      </c>
    </row>
    <row r="24" spans="4:8" ht="19.95" customHeight="1">
      <c r="D24" t="str">
        <f>IFERROR(INDEX(tblProducts[正式名稱],MATCH(tblInventory[[#This Row],[SKU]],tblProducts[SKU],0)),"")</f>
        <v/>
      </c>
      <c r="G24" s="6" t="str">
        <f>IFERROR(INDEX(tblProducts[單位成本],MATCH(tblInventory[[#This Row],[SKU]],tblProducts[SKU],0)),"")</f>
        <v/>
      </c>
      <c r="H24" s="6" t="str">
        <f>IF(OR(tblInventory[[#This Row],[數量]]="",tblInventory[[#This Row],[單位成本]]=""),"",tblInventory[[#This Row],[數量]]*tblInventory[[#This Row],[單位成本]])</f>
        <v/>
      </c>
    </row>
    <row r="25" spans="4:8" ht="19.95" customHeight="1">
      <c r="D25" t="str">
        <f>IFERROR(INDEX(tblProducts[正式名稱],MATCH(tblInventory[[#This Row],[SKU]],tblProducts[SKU],0)),"")</f>
        <v/>
      </c>
      <c r="G25" s="6" t="str">
        <f>IFERROR(INDEX(tblProducts[單位成本],MATCH(tblInventory[[#This Row],[SKU]],tblProducts[SKU],0)),"")</f>
        <v/>
      </c>
      <c r="H25" s="6" t="str">
        <f>IF(OR(tblInventory[[#This Row],[數量]]="",tblInventory[[#This Row],[單位成本]]=""),"",tblInventory[[#This Row],[數量]]*tblInventory[[#This Row],[單位成本]])</f>
        <v/>
      </c>
    </row>
    <row r="26" spans="4:8" ht="19.95" customHeight="1">
      <c r="D26" t="str">
        <f>IFERROR(INDEX(tblProducts[正式名稱],MATCH(tblInventory[[#This Row],[SKU]],tblProducts[SKU],0)),"")</f>
        <v/>
      </c>
      <c r="G26" s="6" t="str">
        <f>IFERROR(INDEX(tblProducts[單位成本],MATCH(tblInventory[[#This Row],[SKU]],tblProducts[SKU],0)),"")</f>
        <v/>
      </c>
      <c r="H26" s="6" t="str">
        <f>IF(OR(tblInventory[[#This Row],[數量]]="",tblInventory[[#This Row],[單位成本]]=""),"",tblInventory[[#This Row],[數量]]*tblInventory[[#This Row],[單位成本]])</f>
        <v/>
      </c>
    </row>
    <row r="27" spans="4:8" ht="19.95" customHeight="1">
      <c r="D27" t="str">
        <f>IFERROR(INDEX(tblProducts[正式名稱],MATCH(tblInventory[[#This Row],[SKU]],tblProducts[SKU],0)),"")</f>
        <v/>
      </c>
      <c r="G27" s="6" t="str">
        <f>IFERROR(INDEX(tblProducts[單位成本],MATCH(tblInventory[[#This Row],[SKU]],tblProducts[SKU],0)),"")</f>
        <v/>
      </c>
      <c r="H27" s="6" t="str">
        <f>IF(OR(tblInventory[[#This Row],[數量]]="",tblInventory[[#This Row],[單位成本]]=""),"",tblInventory[[#This Row],[數量]]*tblInventory[[#This Row],[單位成本]])</f>
        <v/>
      </c>
    </row>
    <row r="28" spans="4:8" ht="19.95" customHeight="1">
      <c r="D28" t="str">
        <f>IFERROR(INDEX(tblProducts[正式名稱],MATCH(tblInventory[[#This Row],[SKU]],tblProducts[SKU],0)),"")</f>
        <v/>
      </c>
      <c r="G28" s="6" t="str">
        <f>IFERROR(INDEX(tblProducts[單位成本],MATCH(tblInventory[[#This Row],[SKU]],tblProducts[SKU],0)),"")</f>
        <v/>
      </c>
      <c r="H28" s="6" t="str">
        <f>IF(OR(tblInventory[[#This Row],[數量]]="",tblInventory[[#This Row],[單位成本]]=""),"",tblInventory[[#This Row],[數量]]*tblInventory[[#This Row],[單位成本]])</f>
        <v/>
      </c>
    </row>
    <row r="29" spans="4:8" ht="19.95" customHeight="1">
      <c r="D29" t="str">
        <f>IFERROR(INDEX(tblProducts[正式名稱],MATCH(tblInventory[[#This Row],[SKU]],tblProducts[SKU],0)),"")</f>
        <v/>
      </c>
      <c r="G29" s="6" t="str">
        <f>IFERROR(INDEX(tblProducts[單位成本],MATCH(tblInventory[[#This Row],[SKU]],tblProducts[SKU],0)),"")</f>
        <v/>
      </c>
      <c r="H29" s="6" t="str">
        <f>IF(OR(tblInventory[[#This Row],[數量]]="",tblInventory[[#This Row],[單位成本]]=""),"",tblInventory[[#This Row],[數量]]*tblInventory[[#This Row],[單位成本]])</f>
        <v/>
      </c>
    </row>
    <row r="30" spans="4:8" ht="19.95" customHeight="1">
      <c r="D30" t="str">
        <f>IFERROR(INDEX(tblProducts[正式名稱],MATCH(tblInventory[[#This Row],[SKU]],tblProducts[SKU],0)),"")</f>
        <v/>
      </c>
      <c r="G30" s="6" t="str">
        <f>IFERROR(INDEX(tblProducts[單位成本],MATCH(tblInventory[[#This Row],[SKU]],tblProducts[SKU],0)),"")</f>
        <v/>
      </c>
      <c r="H30" s="6" t="str">
        <f>IF(OR(tblInventory[[#This Row],[數量]]="",tblInventory[[#This Row],[單位成本]]=""),"",tblInventory[[#This Row],[數量]]*tblInventory[[#This Row],[單位成本]])</f>
        <v/>
      </c>
    </row>
    <row r="31" spans="4:8" ht="19.95" customHeight="1">
      <c r="D31" t="str">
        <f>IFERROR(INDEX(tblProducts[正式名稱],MATCH(tblInventory[[#This Row],[SKU]],tblProducts[SKU],0)),"")</f>
        <v/>
      </c>
      <c r="G31" s="6" t="str">
        <f>IFERROR(INDEX(tblProducts[單位成本],MATCH(tblInventory[[#This Row],[SKU]],tblProducts[SKU],0)),"")</f>
        <v/>
      </c>
      <c r="H31" s="6" t="str">
        <f>IF(OR(tblInventory[[#This Row],[數量]]="",tblInventory[[#This Row],[單位成本]]=""),"",tblInventory[[#This Row],[數量]]*tblInventory[[#This Row],[單位成本]])</f>
        <v/>
      </c>
    </row>
    <row r="32" spans="4:8" ht="19.95" customHeight="1">
      <c r="D32" t="str">
        <f>IFERROR(INDEX(tblProducts[正式名稱],MATCH(tblInventory[[#This Row],[SKU]],tblProducts[SKU],0)),"")</f>
        <v/>
      </c>
      <c r="G32" s="6" t="str">
        <f>IFERROR(INDEX(tblProducts[單位成本],MATCH(tblInventory[[#This Row],[SKU]],tblProducts[SKU],0)),"")</f>
        <v/>
      </c>
      <c r="H32" s="6" t="str">
        <f>IF(OR(tblInventory[[#This Row],[數量]]="",tblInventory[[#This Row],[單位成本]]=""),"",tblInventory[[#This Row],[數量]]*tblInventory[[#This Row],[單位成本]])</f>
        <v/>
      </c>
    </row>
    <row r="33" spans="4:8" ht="19.95" customHeight="1">
      <c r="D33" t="str">
        <f>IFERROR(INDEX(tblProducts[正式名稱],MATCH(tblInventory[[#This Row],[SKU]],tblProducts[SKU],0)),"")</f>
        <v/>
      </c>
      <c r="G33" s="6" t="str">
        <f>IFERROR(INDEX(tblProducts[單位成本],MATCH(tblInventory[[#This Row],[SKU]],tblProducts[SKU],0)),"")</f>
        <v/>
      </c>
      <c r="H33" s="6" t="str">
        <f>IF(OR(tblInventory[[#This Row],[數量]]="",tblInventory[[#This Row],[單位成本]]=""),"",tblInventory[[#This Row],[數量]]*tblInventory[[#This Row],[單位成本]])</f>
        <v/>
      </c>
    </row>
    <row r="34" spans="4:8" ht="19.95" customHeight="1">
      <c r="D34" t="str">
        <f>IFERROR(INDEX(tblProducts[正式名稱],MATCH(tblInventory[[#This Row],[SKU]],tblProducts[SKU],0)),"")</f>
        <v/>
      </c>
      <c r="G34" s="6" t="str">
        <f>IFERROR(INDEX(tblProducts[單位成本],MATCH(tblInventory[[#This Row],[SKU]],tblProducts[SKU],0)),"")</f>
        <v/>
      </c>
      <c r="H34" s="6" t="str">
        <f>IF(OR(tblInventory[[#This Row],[數量]]="",tblInventory[[#This Row],[單位成本]]=""),"",tblInventory[[#This Row],[數量]]*tblInventory[[#This Row],[單位成本]])</f>
        <v/>
      </c>
    </row>
    <row r="35" spans="4:8" ht="19.95" customHeight="1">
      <c r="D35" t="str">
        <f>IFERROR(INDEX(tblProducts[正式名稱],MATCH(tblInventory[[#This Row],[SKU]],tblProducts[SKU],0)),"")</f>
        <v/>
      </c>
      <c r="G35" s="6" t="str">
        <f>IFERROR(INDEX(tblProducts[單位成本],MATCH(tblInventory[[#This Row],[SKU]],tblProducts[SKU],0)),"")</f>
        <v/>
      </c>
      <c r="H35" s="6" t="str">
        <f>IF(OR(tblInventory[[#This Row],[數量]]="",tblInventory[[#This Row],[單位成本]]=""),"",tblInventory[[#This Row],[數量]]*tblInventory[[#This Row],[單位成本]])</f>
        <v/>
      </c>
    </row>
    <row r="36" spans="4:8" ht="19.95" customHeight="1">
      <c r="D36" t="str">
        <f>IFERROR(INDEX(tblProducts[正式名稱],MATCH(tblInventory[[#This Row],[SKU]],tblProducts[SKU],0)),"")</f>
        <v/>
      </c>
      <c r="G36" s="6" t="str">
        <f>IFERROR(INDEX(tblProducts[單位成本],MATCH(tblInventory[[#This Row],[SKU]],tblProducts[SKU],0)),"")</f>
        <v/>
      </c>
      <c r="H36" s="6" t="str">
        <f>IF(OR(tblInventory[[#This Row],[數量]]="",tblInventory[[#This Row],[單位成本]]=""),"",tblInventory[[#This Row],[數量]]*tblInventory[[#This Row],[單位成本]])</f>
        <v/>
      </c>
    </row>
    <row r="37" spans="4:8" ht="19.95" customHeight="1">
      <c r="D37" t="str">
        <f>IFERROR(INDEX(tblProducts[正式名稱],MATCH(tblInventory[[#This Row],[SKU]],tblProducts[SKU],0)),"")</f>
        <v/>
      </c>
      <c r="G37" s="6" t="str">
        <f>IFERROR(INDEX(tblProducts[單位成本],MATCH(tblInventory[[#This Row],[SKU]],tblProducts[SKU],0)),"")</f>
        <v/>
      </c>
      <c r="H37" s="6" t="str">
        <f>IF(OR(tblInventory[[#This Row],[數量]]="",tblInventory[[#This Row],[單位成本]]=""),"",tblInventory[[#This Row],[數量]]*tblInventory[[#This Row],[單位成本]])</f>
        <v/>
      </c>
    </row>
    <row r="38" spans="4:8" ht="19.95" customHeight="1">
      <c r="D38" t="str">
        <f>IFERROR(INDEX(tblProducts[正式名稱],MATCH(tblInventory[[#This Row],[SKU]],tblProducts[SKU],0)),"")</f>
        <v/>
      </c>
      <c r="G38" s="6" t="str">
        <f>IFERROR(INDEX(tblProducts[單位成本],MATCH(tblInventory[[#This Row],[SKU]],tblProducts[SKU],0)),"")</f>
        <v/>
      </c>
      <c r="H38" s="6" t="str">
        <f>IF(OR(tblInventory[[#This Row],[數量]]="",tblInventory[[#This Row],[單位成本]]=""),"",tblInventory[[#This Row],[數量]]*tblInventory[[#This Row],[單位成本]])</f>
        <v/>
      </c>
    </row>
    <row r="39" spans="4:8" ht="19.95" customHeight="1">
      <c r="D39" t="str">
        <f>IFERROR(INDEX(tblProducts[正式名稱],MATCH(tblInventory[[#This Row],[SKU]],tblProducts[SKU],0)),"")</f>
        <v/>
      </c>
      <c r="G39" s="6" t="str">
        <f>IFERROR(INDEX(tblProducts[單位成本],MATCH(tblInventory[[#This Row],[SKU]],tblProducts[SKU],0)),"")</f>
        <v/>
      </c>
      <c r="H39" s="6" t="str">
        <f>IF(OR(tblInventory[[#This Row],[數量]]="",tblInventory[[#This Row],[單位成本]]=""),"",tblInventory[[#This Row],[數量]]*tblInventory[[#This Row],[單位成本]])</f>
        <v/>
      </c>
    </row>
    <row r="40" spans="4:8" ht="19.95" customHeight="1">
      <c r="D40" t="str">
        <f>IFERROR(INDEX(tblProducts[正式名稱],MATCH(tblInventory[[#This Row],[SKU]],tblProducts[SKU],0)),"")</f>
        <v/>
      </c>
      <c r="G40" s="6" t="str">
        <f>IFERROR(INDEX(tblProducts[單位成本],MATCH(tblInventory[[#This Row],[SKU]],tblProducts[SKU],0)),"")</f>
        <v/>
      </c>
      <c r="H40" s="6" t="str">
        <f>IF(OR(tblInventory[[#This Row],[數量]]="",tblInventory[[#This Row],[單位成本]]=""),"",tblInventory[[#This Row],[數量]]*tblInventory[[#This Row],[單位成本]])</f>
        <v/>
      </c>
    </row>
    <row r="41" spans="4:8" ht="19.95" customHeight="1">
      <c r="D41" t="str">
        <f>IFERROR(INDEX(tblProducts[正式名稱],MATCH(tblInventory[[#This Row],[SKU]],tblProducts[SKU],0)),"")</f>
        <v/>
      </c>
      <c r="G41" s="6" t="str">
        <f>IFERROR(INDEX(tblProducts[單位成本],MATCH(tblInventory[[#This Row],[SKU]],tblProducts[SKU],0)),"")</f>
        <v/>
      </c>
      <c r="H41" s="6" t="str">
        <f>IF(OR(tblInventory[[#This Row],[數量]]="",tblInventory[[#This Row],[單位成本]]=""),"",tblInventory[[#This Row],[數量]]*tblInventory[[#This Row],[單位成本]])</f>
        <v/>
      </c>
    </row>
    <row r="42" spans="4:8" ht="19.95" customHeight="1">
      <c r="D42" t="str">
        <f>IFERROR(INDEX(tblProducts[正式名稱],MATCH(tblInventory[[#This Row],[SKU]],tblProducts[SKU],0)),"")</f>
        <v/>
      </c>
      <c r="G42" s="6" t="str">
        <f>IFERROR(INDEX(tblProducts[單位成本],MATCH(tblInventory[[#This Row],[SKU]],tblProducts[SKU],0)),"")</f>
        <v/>
      </c>
      <c r="H42" s="6" t="str">
        <f>IF(OR(tblInventory[[#This Row],[數量]]="",tblInventory[[#This Row],[單位成本]]=""),"",tblInventory[[#This Row],[數量]]*tblInventory[[#This Row],[單位成本]])</f>
        <v/>
      </c>
    </row>
    <row r="43" spans="4:8" ht="19.95" customHeight="1">
      <c r="D43" t="str">
        <f>IFERROR(INDEX(tblProducts[正式名稱],MATCH(tblInventory[[#This Row],[SKU]],tblProducts[SKU],0)),"")</f>
        <v/>
      </c>
      <c r="G43" s="6" t="str">
        <f>IFERROR(INDEX(tblProducts[單位成本],MATCH(tblInventory[[#This Row],[SKU]],tblProducts[SKU],0)),"")</f>
        <v/>
      </c>
      <c r="H43" s="6" t="str">
        <f>IF(OR(tblInventory[[#This Row],[數量]]="",tblInventory[[#This Row],[單位成本]]=""),"",tblInventory[[#This Row],[數量]]*tblInventory[[#This Row],[單位成本]])</f>
        <v/>
      </c>
    </row>
    <row r="44" spans="4:8" ht="19.95" customHeight="1">
      <c r="D44" t="str">
        <f>IFERROR(INDEX(tblProducts[正式名稱],MATCH(tblInventory[[#This Row],[SKU]],tblProducts[SKU],0)),"")</f>
        <v/>
      </c>
      <c r="G44" s="6" t="str">
        <f>IFERROR(INDEX(tblProducts[單位成本],MATCH(tblInventory[[#This Row],[SKU]],tblProducts[SKU],0)),"")</f>
        <v/>
      </c>
      <c r="H44" s="6" t="str">
        <f>IF(OR(tblInventory[[#This Row],[數量]]="",tblInventory[[#This Row],[單位成本]]=""),"",tblInventory[[#This Row],[數量]]*tblInventory[[#This Row],[單位成本]])</f>
        <v/>
      </c>
    </row>
    <row r="45" spans="4:8" ht="19.95" customHeight="1">
      <c r="D45" t="str">
        <f>IFERROR(INDEX(tblProducts[正式名稱],MATCH(tblInventory[[#This Row],[SKU]],tblProducts[SKU],0)),"")</f>
        <v/>
      </c>
      <c r="G45" s="6" t="str">
        <f>IFERROR(INDEX(tblProducts[單位成本],MATCH(tblInventory[[#This Row],[SKU]],tblProducts[SKU],0)),"")</f>
        <v/>
      </c>
      <c r="H45" s="6" t="str">
        <f>IF(OR(tblInventory[[#This Row],[數量]]="",tblInventory[[#This Row],[單位成本]]=""),"",tblInventory[[#This Row],[數量]]*tblInventory[[#This Row],[單位成本]])</f>
        <v/>
      </c>
    </row>
    <row r="46" spans="4:8" ht="19.95" customHeight="1">
      <c r="D46" t="str">
        <f>IFERROR(INDEX(tblProducts[正式名稱],MATCH(tblInventory[[#This Row],[SKU]],tblProducts[SKU],0)),"")</f>
        <v/>
      </c>
      <c r="G46" s="6" t="str">
        <f>IFERROR(INDEX(tblProducts[單位成本],MATCH(tblInventory[[#This Row],[SKU]],tblProducts[SKU],0)),"")</f>
        <v/>
      </c>
      <c r="H46" s="6" t="str">
        <f>IF(OR(tblInventory[[#This Row],[數量]]="",tblInventory[[#This Row],[單位成本]]=""),"",tblInventory[[#This Row],[數量]]*tblInventory[[#This Row],[單位成本]])</f>
        <v/>
      </c>
    </row>
    <row r="47" spans="4:8" ht="19.95" customHeight="1">
      <c r="D47" t="str">
        <f>IFERROR(INDEX(tblProducts[正式名稱],MATCH(tblInventory[[#This Row],[SKU]],tblProducts[SKU],0)),"")</f>
        <v/>
      </c>
      <c r="G47" s="6" t="str">
        <f>IFERROR(INDEX(tblProducts[單位成本],MATCH(tblInventory[[#This Row],[SKU]],tblProducts[SKU],0)),"")</f>
        <v/>
      </c>
      <c r="H47" s="6" t="str">
        <f>IF(OR(tblInventory[[#This Row],[數量]]="",tblInventory[[#This Row],[單位成本]]=""),"",tblInventory[[#This Row],[數量]]*tblInventory[[#This Row],[單位成本]])</f>
        <v/>
      </c>
    </row>
    <row r="48" spans="4:8" ht="19.95" customHeight="1">
      <c r="D48" t="str">
        <f>IFERROR(INDEX(tblProducts[正式名稱],MATCH(tblInventory[[#This Row],[SKU]],tblProducts[SKU],0)),"")</f>
        <v/>
      </c>
      <c r="G48" s="6" t="str">
        <f>IFERROR(INDEX(tblProducts[單位成本],MATCH(tblInventory[[#This Row],[SKU]],tblProducts[SKU],0)),"")</f>
        <v/>
      </c>
      <c r="H48" s="6" t="str">
        <f>IF(OR(tblInventory[[#This Row],[數量]]="",tblInventory[[#This Row],[單位成本]]=""),"",tblInventory[[#This Row],[數量]]*tblInventory[[#This Row],[單位成本]])</f>
        <v/>
      </c>
    </row>
    <row r="49" spans="4:8" ht="19.95" customHeight="1">
      <c r="D49" t="str">
        <f>IFERROR(INDEX(tblProducts[正式名稱],MATCH(tblInventory[[#This Row],[SKU]],tblProducts[SKU],0)),"")</f>
        <v/>
      </c>
      <c r="G49" s="6" t="str">
        <f>IFERROR(INDEX(tblProducts[單位成本],MATCH(tblInventory[[#This Row],[SKU]],tblProducts[SKU],0)),"")</f>
        <v/>
      </c>
      <c r="H49" s="6" t="str">
        <f>IF(OR(tblInventory[[#This Row],[數量]]="",tblInventory[[#This Row],[單位成本]]=""),"",tblInventory[[#This Row],[數量]]*tblInventory[[#This Row],[單位成本]])</f>
        <v/>
      </c>
    </row>
    <row r="50" spans="4:8" ht="19.95" customHeight="1">
      <c r="D50" t="str">
        <f>IFERROR(INDEX(tblProducts[正式名稱],MATCH(tblInventory[[#This Row],[SKU]],tblProducts[SKU],0)),"")</f>
        <v/>
      </c>
      <c r="G50" s="6" t="str">
        <f>IFERROR(INDEX(tblProducts[單位成本],MATCH(tblInventory[[#This Row],[SKU]],tblProducts[SKU],0)),"")</f>
        <v/>
      </c>
      <c r="H50" s="6" t="str">
        <f>IF(OR(tblInventory[[#This Row],[數量]]="",tblInventory[[#This Row],[單位成本]]=""),"",tblInventory[[#This Row],[數量]]*tblInventory[[#This Row],[單位成本]])</f>
        <v/>
      </c>
    </row>
    <row r="51" spans="4:8" ht="19.95" customHeight="1">
      <c r="D51" t="str">
        <f>IFERROR(INDEX(tblProducts[正式名稱],MATCH(tblInventory[[#This Row],[SKU]],tblProducts[SKU],0)),"")</f>
        <v/>
      </c>
      <c r="G51" s="6" t="str">
        <f>IFERROR(INDEX(tblProducts[單位成本],MATCH(tblInventory[[#This Row],[SKU]],tblProducts[SKU],0)),"")</f>
        <v/>
      </c>
      <c r="H51" s="6" t="str">
        <f>IF(OR(tblInventory[[#This Row],[數量]]="",tblInventory[[#This Row],[單位成本]]=""),"",tblInventory[[#This Row],[數量]]*tblInventory[[#This Row],[單位成本]])</f>
        <v/>
      </c>
    </row>
    <row r="52" spans="4:8" ht="19.95" customHeight="1">
      <c r="D52" t="str">
        <f>IFERROR(INDEX(tblProducts[正式名稱],MATCH(tblInventory[[#This Row],[SKU]],tblProducts[SKU],0)),"")</f>
        <v/>
      </c>
      <c r="G52" s="6" t="str">
        <f>IFERROR(INDEX(tblProducts[單位成本],MATCH(tblInventory[[#This Row],[SKU]],tblProducts[SKU],0)),"")</f>
        <v/>
      </c>
      <c r="H52" s="6" t="str">
        <f>IF(OR(tblInventory[[#This Row],[數量]]="",tblInventory[[#This Row],[單位成本]]=""),"",tblInventory[[#This Row],[數量]]*tblInventory[[#This Row],[單位成本]])</f>
        <v/>
      </c>
    </row>
    <row r="53" spans="4:8" ht="19.95" customHeight="1">
      <c r="D53" t="str">
        <f>IFERROR(INDEX(tblProducts[正式名稱],MATCH(tblInventory[[#This Row],[SKU]],tblProducts[SKU],0)),"")</f>
        <v/>
      </c>
      <c r="G53" s="6" t="str">
        <f>IFERROR(INDEX(tblProducts[單位成本],MATCH(tblInventory[[#This Row],[SKU]],tblProducts[SKU],0)),"")</f>
        <v/>
      </c>
      <c r="H53" s="6" t="str">
        <f>IF(OR(tblInventory[[#This Row],[數量]]="",tblInventory[[#This Row],[單位成本]]=""),"",tblInventory[[#This Row],[數量]]*tblInventory[[#This Row],[單位成本]])</f>
        <v/>
      </c>
    </row>
    <row r="54" spans="4:8" ht="19.95" customHeight="1">
      <c r="D54" t="str">
        <f>IFERROR(INDEX(tblProducts[正式名稱],MATCH(tblInventory[[#This Row],[SKU]],tblProducts[SKU],0)),"")</f>
        <v/>
      </c>
      <c r="G54" s="6" t="str">
        <f>IFERROR(INDEX(tblProducts[單位成本],MATCH(tblInventory[[#This Row],[SKU]],tblProducts[SKU],0)),"")</f>
        <v/>
      </c>
      <c r="H54" s="6" t="str">
        <f>IF(OR(tblInventory[[#This Row],[數量]]="",tblInventory[[#This Row],[單位成本]]=""),"",tblInventory[[#This Row],[數量]]*tblInventory[[#This Row],[單位成本]])</f>
        <v/>
      </c>
    </row>
    <row r="55" spans="4:8" ht="19.95" customHeight="1">
      <c r="D55" t="str">
        <f>IFERROR(INDEX(tblProducts[正式名稱],MATCH(tblInventory[[#This Row],[SKU]],tblProducts[SKU],0)),"")</f>
        <v/>
      </c>
      <c r="G55" s="6" t="str">
        <f>IFERROR(INDEX(tblProducts[單位成本],MATCH(tblInventory[[#This Row],[SKU]],tblProducts[SKU],0)),"")</f>
        <v/>
      </c>
      <c r="H55" s="6" t="str">
        <f>IF(OR(tblInventory[[#This Row],[數量]]="",tblInventory[[#This Row],[單位成本]]=""),"",tblInventory[[#This Row],[數量]]*tblInventory[[#This Row],[單位成本]])</f>
        <v/>
      </c>
    </row>
    <row r="56" spans="4:8" ht="19.95" customHeight="1">
      <c r="D56" t="str">
        <f>IFERROR(INDEX(tblProducts[正式名稱],MATCH(tblInventory[[#This Row],[SKU]],tblProducts[SKU],0)),"")</f>
        <v/>
      </c>
      <c r="G56" s="6" t="str">
        <f>IFERROR(INDEX(tblProducts[單位成本],MATCH(tblInventory[[#This Row],[SKU]],tblProducts[SKU],0)),"")</f>
        <v/>
      </c>
      <c r="H56" s="6" t="str">
        <f>IF(OR(tblInventory[[#This Row],[數量]]="",tblInventory[[#This Row],[單位成本]]=""),"",tblInventory[[#This Row],[數量]]*tblInventory[[#This Row],[單位成本]])</f>
        <v/>
      </c>
    </row>
    <row r="57" spans="4:8" ht="19.95" customHeight="1">
      <c r="D57" t="str">
        <f>IFERROR(INDEX(tblProducts[正式名稱],MATCH(tblInventory[[#This Row],[SKU]],tblProducts[SKU],0)),"")</f>
        <v/>
      </c>
      <c r="G57" s="6" t="str">
        <f>IFERROR(INDEX(tblProducts[單位成本],MATCH(tblInventory[[#This Row],[SKU]],tblProducts[SKU],0)),"")</f>
        <v/>
      </c>
      <c r="H57" s="6" t="str">
        <f>IF(OR(tblInventory[[#This Row],[數量]]="",tblInventory[[#This Row],[單位成本]]=""),"",tblInventory[[#This Row],[數量]]*tblInventory[[#This Row],[單位成本]])</f>
        <v/>
      </c>
    </row>
    <row r="58" spans="4:8" ht="19.95" customHeight="1">
      <c r="D58" t="str">
        <f>IFERROR(INDEX(tblProducts[正式名稱],MATCH(tblInventory[[#This Row],[SKU]],tblProducts[SKU],0)),"")</f>
        <v/>
      </c>
      <c r="G58" s="6" t="str">
        <f>IFERROR(INDEX(tblProducts[單位成本],MATCH(tblInventory[[#This Row],[SKU]],tblProducts[SKU],0)),"")</f>
        <v/>
      </c>
      <c r="H58" s="6" t="str">
        <f>IF(OR(tblInventory[[#This Row],[數量]]="",tblInventory[[#This Row],[單位成本]]=""),"",tblInventory[[#This Row],[數量]]*tblInventory[[#This Row],[單位成本]])</f>
        <v/>
      </c>
    </row>
    <row r="59" spans="4:8" ht="19.95" customHeight="1">
      <c r="D59" t="str">
        <f>IFERROR(INDEX(tblProducts[正式名稱],MATCH(tblInventory[[#This Row],[SKU]],tblProducts[SKU],0)),"")</f>
        <v/>
      </c>
      <c r="G59" s="6" t="str">
        <f>IFERROR(INDEX(tblProducts[單位成本],MATCH(tblInventory[[#This Row],[SKU]],tblProducts[SKU],0)),"")</f>
        <v/>
      </c>
      <c r="H59" s="6" t="str">
        <f>IF(OR(tblInventory[[#This Row],[數量]]="",tblInventory[[#This Row],[單位成本]]=""),"",tblInventory[[#This Row],[數量]]*tblInventory[[#This Row],[單位成本]])</f>
        <v/>
      </c>
    </row>
    <row r="60" spans="4:8" ht="19.95" customHeight="1">
      <c r="D60" t="str">
        <f>IFERROR(INDEX(tblProducts[正式名稱],MATCH(tblInventory[[#This Row],[SKU]],tblProducts[SKU],0)),"")</f>
        <v/>
      </c>
      <c r="G60" s="6" t="str">
        <f>IFERROR(INDEX(tblProducts[單位成本],MATCH(tblInventory[[#This Row],[SKU]],tblProducts[SKU],0)),"")</f>
        <v/>
      </c>
      <c r="H60" s="6" t="str">
        <f>IF(OR(tblInventory[[#This Row],[數量]]="",tblInventory[[#This Row],[單位成本]]=""),"",tblInventory[[#This Row],[數量]]*tblInventory[[#This Row],[單位成本]])</f>
        <v/>
      </c>
    </row>
    <row r="61" spans="4:8" ht="19.95" customHeight="1">
      <c r="D61" t="str">
        <f>IFERROR(INDEX(tblProducts[正式名稱],MATCH(tblInventory[[#This Row],[SKU]],tblProducts[SKU],0)),"")</f>
        <v/>
      </c>
      <c r="G61" s="6" t="str">
        <f>IFERROR(INDEX(tblProducts[單位成本],MATCH(tblInventory[[#This Row],[SKU]],tblProducts[SKU],0)),"")</f>
        <v/>
      </c>
      <c r="H61" s="6" t="str">
        <f>IF(OR(tblInventory[[#This Row],[數量]]="",tblInventory[[#This Row],[單位成本]]=""),"",tblInventory[[#This Row],[數量]]*tblInventory[[#This Row],[單位成本]])</f>
        <v/>
      </c>
    </row>
    <row r="62" spans="4:8" ht="19.95" customHeight="1">
      <c r="D62" t="str">
        <f>IFERROR(INDEX(tblProducts[正式名稱],MATCH(tblInventory[[#This Row],[SKU]],tblProducts[SKU],0)),"")</f>
        <v/>
      </c>
      <c r="G62" s="6" t="str">
        <f>IFERROR(INDEX(tblProducts[單位成本],MATCH(tblInventory[[#This Row],[SKU]],tblProducts[SKU],0)),"")</f>
        <v/>
      </c>
      <c r="H62" s="6" t="str">
        <f>IF(OR(tblInventory[[#This Row],[數量]]="",tblInventory[[#This Row],[單位成本]]=""),"",tblInventory[[#This Row],[數量]]*tblInventory[[#This Row],[單位成本]])</f>
        <v/>
      </c>
    </row>
    <row r="63" spans="4:8" ht="19.95" customHeight="1">
      <c r="D63" t="str">
        <f>IFERROR(INDEX(tblProducts[正式名稱],MATCH(tblInventory[[#This Row],[SKU]],tblProducts[SKU],0)),"")</f>
        <v/>
      </c>
      <c r="G63" s="6" t="str">
        <f>IFERROR(INDEX(tblProducts[單位成本],MATCH(tblInventory[[#This Row],[SKU]],tblProducts[SKU],0)),"")</f>
        <v/>
      </c>
      <c r="H63" s="6" t="str">
        <f>IF(OR(tblInventory[[#This Row],[數量]]="",tblInventory[[#This Row],[單位成本]]=""),"",tblInventory[[#This Row],[數量]]*tblInventory[[#This Row],[單位成本]])</f>
        <v/>
      </c>
    </row>
    <row r="64" spans="4:8" ht="19.95" customHeight="1">
      <c r="D64" t="str">
        <f>IFERROR(INDEX(tblProducts[正式名稱],MATCH(tblInventory[[#This Row],[SKU]],tblProducts[SKU],0)),"")</f>
        <v/>
      </c>
      <c r="G64" s="6" t="str">
        <f>IFERROR(INDEX(tblProducts[單位成本],MATCH(tblInventory[[#This Row],[SKU]],tblProducts[SKU],0)),"")</f>
        <v/>
      </c>
      <c r="H64" s="6" t="str">
        <f>IF(OR(tblInventory[[#This Row],[數量]]="",tblInventory[[#This Row],[單位成本]]=""),"",tblInventory[[#This Row],[數量]]*tblInventory[[#This Row],[單位成本]])</f>
        <v/>
      </c>
    </row>
    <row r="65" spans="4:8" ht="19.95" customHeight="1">
      <c r="D65" t="str">
        <f>IFERROR(INDEX(tblProducts[正式名稱],MATCH(tblInventory[[#This Row],[SKU]],tblProducts[SKU],0)),"")</f>
        <v/>
      </c>
      <c r="G65" s="6" t="str">
        <f>IFERROR(INDEX(tblProducts[單位成本],MATCH(tblInventory[[#This Row],[SKU]],tblProducts[SKU],0)),"")</f>
        <v/>
      </c>
      <c r="H65" s="6" t="str">
        <f>IF(OR(tblInventory[[#This Row],[數量]]="",tblInventory[[#This Row],[單位成本]]=""),"",tblInventory[[#This Row],[數量]]*tblInventory[[#This Row],[單位成本]])</f>
        <v/>
      </c>
    </row>
    <row r="66" spans="4:8" ht="19.95" customHeight="1">
      <c r="D66" t="str">
        <f>IFERROR(INDEX(tblProducts[正式名稱],MATCH(tblInventory[[#This Row],[SKU]],tblProducts[SKU],0)),"")</f>
        <v/>
      </c>
      <c r="G66" s="6" t="str">
        <f>IFERROR(INDEX(tblProducts[單位成本],MATCH(tblInventory[[#This Row],[SKU]],tblProducts[SKU],0)),"")</f>
        <v/>
      </c>
      <c r="H66" s="6" t="str">
        <f>IF(OR(tblInventory[[#This Row],[數量]]="",tblInventory[[#This Row],[單位成本]]=""),"",tblInventory[[#This Row],[數量]]*tblInventory[[#This Row],[單位成本]])</f>
        <v/>
      </c>
    </row>
    <row r="67" spans="4:8" ht="19.95" customHeight="1">
      <c r="D67" t="str">
        <f>IFERROR(INDEX(tblProducts[正式名稱],MATCH(tblInventory[[#This Row],[SKU]],tblProducts[SKU],0)),"")</f>
        <v/>
      </c>
      <c r="G67" s="6" t="str">
        <f>IFERROR(INDEX(tblProducts[單位成本],MATCH(tblInventory[[#This Row],[SKU]],tblProducts[SKU],0)),"")</f>
        <v/>
      </c>
      <c r="H67" s="6" t="str">
        <f>IF(OR(tblInventory[[#This Row],[數量]]="",tblInventory[[#This Row],[單位成本]]=""),"",tblInventory[[#This Row],[數量]]*tblInventory[[#This Row],[單位成本]])</f>
        <v/>
      </c>
    </row>
    <row r="68" spans="4:8" ht="19.95" customHeight="1">
      <c r="D68" t="str">
        <f>IFERROR(INDEX(tblProducts[正式名稱],MATCH(tblInventory[[#This Row],[SKU]],tblProducts[SKU],0)),"")</f>
        <v/>
      </c>
      <c r="G68" s="6" t="str">
        <f>IFERROR(INDEX(tblProducts[單位成本],MATCH(tblInventory[[#This Row],[SKU]],tblProducts[SKU],0)),"")</f>
        <v/>
      </c>
      <c r="H68" s="6" t="str">
        <f>IF(OR(tblInventory[[#This Row],[數量]]="",tblInventory[[#This Row],[單位成本]]=""),"",tblInventory[[#This Row],[數量]]*tblInventory[[#This Row],[單位成本]])</f>
        <v/>
      </c>
    </row>
    <row r="69" spans="4:8" ht="19.95" customHeight="1">
      <c r="D69" t="str">
        <f>IFERROR(INDEX(tblProducts[正式名稱],MATCH(tblInventory[[#This Row],[SKU]],tblProducts[SKU],0)),"")</f>
        <v/>
      </c>
      <c r="G69" s="6" t="str">
        <f>IFERROR(INDEX(tblProducts[單位成本],MATCH(tblInventory[[#This Row],[SKU]],tblProducts[SKU],0)),"")</f>
        <v/>
      </c>
      <c r="H69" s="6" t="str">
        <f>IF(OR(tblInventory[[#This Row],[數量]]="",tblInventory[[#This Row],[單位成本]]=""),"",tblInventory[[#This Row],[數量]]*tblInventory[[#This Row],[單位成本]])</f>
        <v/>
      </c>
    </row>
    <row r="70" spans="4:8" ht="19.95" customHeight="1">
      <c r="D70" t="str">
        <f>IFERROR(INDEX(tblProducts[正式名稱],MATCH(tblInventory[[#This Row],[SKU]],tblProducts[SKU],0)),"")</f>
        <v/>
      </c>
      <c r="G70" s="6" t="str">
        <f>IFERROR(INDEX(tblProducts[單位成本],MATCH(tblInventory[[#This Row],[SKU]],tblProducts[SKU],0)),"")</f>
        <v/>
      </c>
      <c r="H70" s="6" t="str">
        <f>IF(OR(tblInventory[[#This Row],[數量]]="",tblInventory[[#This Row],[單位成本]]=""),"",tblInventory[[#This Row],[數量]]*tblInventory[[#This Row],[單位成本]])</f>
        <v/>
      </c>
    </row>
    <row r="71" spans="4:8" ht="19.95" customHeight="1">
      <c r="D71" t="str">
        <f>IFERROR(INDEX(tblProducts[正式名稱],MATCH(tblInventory[[#This Row],[SKU]],tblProducts[SKU],0)),"")</f>
        <v/>
      </c>
      <c r="G71" s="6" t="str">
        <f>IFERROR(INDEX(tblProducts[單位成本],MATCH(tblInventory[[#This Row],[SKU]],tblProducts[SKU],0)),"")</f>
        <v/>
      </c>
      <c r="H71" s="6" t="str">
        <f>IF(OR(tblInventory[[#This Row],[數量]]="",tblInventory[[#This Row],[單位成本]]=""),"",tblInventory[[#This Row],[數量]]*tblInventory[[#This Row],[單位成本]])</f>
        <v/>
      </c>
    </row>
    <row r="72" spans="4:8" ht="19.95" customHeight="1">
      <c r="D72" t="str">
        <f>IFERROR(INDEX(tblProducts[正式名稱],MATCH(tblInventory[[#This Row],[SKU]],tblProducts[SKU],0)),"")</f>
        <v/>
      </c>
      <c r="G72" s="6" t="str">
        <f>IFERROR(INDEX(tblProducts[單位成本],MATCH(tblInventory[[#This Row],[SKU]],tblProducts[SKU],0)),"")</f>
        <v/>
      </c>
      <c r="H72" s="6" t="str">
        <f>IF(OR(tblInventory[[#This Row],[數量]]="",tblInventory[[#This Row],[單位成本]]=""),"",tblInventory[[#This Row],[數量]]*tblInventory[[#This Row],[單位成本]])</f>
        <v/>
      </c>
    </row>
    <row r="73" spans="4:8" ht="19.95" customHeight="1">
      <c r="D73" t="str">
        <f>IFERROR(INDEX(tblProducts[正式名稱],MATCH(tblInventory[[#This Row],[SKU]],tblProducts[SKU],0)),"")</f>
        <v/>
      </c>
      <c r="G73" s="6" t="str">
        <f>IFERROR(INDEX(tblProducts[單位成本],MATCH(tblInventory[[#This Row],[SKU]],tblProducts[SKU],0)),"")</f>
        <v/>
      </c>
      <c r="H73" s="6" t="str">
        <f>IF(OR(tblInventory[[#This Row],[數量]]="",tblInventory[[#This Row],[單位成本]]=""),"",tblInventory[[#This Row],[數量]]*tblInventory[[#This Row],[單位成本]])</f>
        <v/>
      </c>
    </row>
    <row r="74" spans="4:8" ht="19.95" customHeight="1">
      <c r="D74" t="str">
        <f>IFERROR(INDEX(tblProducts[正式名稱],MATCH(tblInventory[[#This Row],[SKU]],tblProducts[SKU],0)),"")</f>
        <v/>
      </c>
      <c r="G74" s="6" t="str">
        <f>IFERROR(INDEX(tblProducts[單位成本],MATCH(tblInventory[[#This Row],[SKU]],tblProducts[SKU],0)),"")</f>
        <v/>
      </c>
      <c r="H74" s="6" t="str">
        <f>IF(OR(tblInventory[[#This Row],[數量]]="",tblInventory[[#This Row],[單位成本]]=""),"",tblInventory[[#This Row],[數量]]*tblInventory[[#This Row],[單位成本]])</f>
        <v/>
      </c>
    </row>
    <row r="75" spans="4:8" ht="19.95" customHeight="1">
      <c r="D75" t="str">
        <f>IFERROR(INDEX(tblProducts[正式名稱],MATCH(tblInventory[[#This Row],[SKU]],tblProducts[SKU],0)),"")</f>
        <v/>
      </c>
      <c r="G75" s="6" t="str">
        <f>IFERROR(INDEX(tblProducts[單位成本],MATCH(tblInventory[[#This Row],[SKU]],tblProducts[SKU],0)),"")</f>
        <v/>
      </c>
      <c r="H75" s="6" t="str">
        <f>IF(OR(tblInventory[[#This Row],[數量]]="",tblInventory[[#This Row],[單位成本]]=""),"",tblInventory[[#This Row],[數量]]*tblInventory[[#This Row],[單位成本]])</f>
        <v/>
      </c>
    </row>
    <row r="76" spans="4:8" ht="19.95" customHeight="1">
      <c r="D76" t="str">
        <f>IFERROR(INDEX(tblProducts[正式名稱],MATCH(tblInventory[[#This Row],[SKU]],tblProducts[SKU],0)),"")</f>
        <v/>
      </c>
      <c r="G76" s="6" t="str">
        <f>IFERROR(INDEX(tblProducts[單位成本],MATCH(tblInventory[[#This Row],[SKU]],tblProducts[SKU],0)),"")</f>
        <v/>
      </c>
      <c r="H76" s="6" t="str">
        <f>IF(OR(tblInventory[[#This Row],[數量]]="",tblInventory[[#This Row],[單位成本]]=""),"",tblInventory[[#This Row],[數量]]*tblInventory[[#This Row],[單位成本]])</f>
        <v/>
      </c>
    </row>
    <row r="77" spans="4:8" ht="19.95" customHeight="1">
      <c r="D77" t="str">
        <f>IFERROR(INDEX(tblProducts[正式名稱],MATCH(tblInventory[[#This Row],[SKU]],tblProducts[SKU],0)),"")</f>
        <v/>
      </c>
      <c r="G77" s="6" t="str">
        <f>IFERROR(INDEX(tblProducts[單位成本],MATCH(tblInventory[[#This Row],[SKU]],tblProducts[SKU],0)),"")</f>
        <v/>
      </c>
      <c r="H77" s="6" t="str">
        <f>IF(OR(tblInventory[[#This Row],[數量]]="",tblInventory[[#This Row],[單位成本]]=""),"",tblInventory[[#This Row],[數量]]*tblInventory[[#This Row],[單位成本]])</f>
        <v/>
      </c>
    </row>
    <row r="78" spans="4:8" ht="19.95" customHeight="1">
      <c r="D78" t="str">
        <f>IFERROR(INDEX(tblProducts[正式名稱],MATCH(tblInventory[[#This Row],[SKU]],tblProducts[SKU],0)),"")</f>
        <v/>
      </c>
      <c r="G78" s="6" t="str">
        <f>IFERROR(INDEX(tblProducts[單位成本],MATCH(tblInventory[[#This Row],[SKU]],tblProducts[SKU],0)),"")</f>
        <v/>
      </c>
      <c r="H78" s="6" t="str">
        <f>IF(OR(tblInventory[[#This Row],[數量]]="",tblInventory[[#This Row],[單位成本]]=""),"",tblInventory[[#This Row],[數量]]*tblInventory[[#This Row],[單位成本]])</f>
        <v/>
      </c>
    </row>
    <row r="79" spans="4:8" ht="19.95" customHeight="1">
      <c r="D79" t="str">
        <f>IFERROR(INDEX(tblProducts[正式名稱],MATCH(tblInventory[[#This Row],[SKU]],tblProducts[SKU],0)),"")</f>
        <v/>
      </c>
      <c r="G79" s="6" t="str">
        <f>IFERROR(INDEX(tblProducts[單位成本],MATCH(tblInventory[[#This Row],[SKU]],tblProducts[SKU],0)),"")</f>
        <v/>
      </c>
      <c r="H79" s="6" t="str">
        <f>IF(OR(tblInventory[[#This Row],[數量]]="",tblInventory[[#This Row],[單位成本]]=""),"",tblInventory[[#This Row],[數量]]*tblInventory[[#This Row],[單位成本]])</f>
        <v/>
      </c>
    </row>
    <row r="80" spans="4:8" ht="19.95" customHeight="1">
      <c r="D80" t="str">
        <f>IFERROR(INDEX(tblProducts[正式名稱],MATCH(tblInventory[[#This Row],[SKU]],tblProducts[SKU],0)),"")</f>
        <v/>
      </c>
      <c r="G80" s="6" t="str">
        <f>IFERROR(INDEX(tblProducts[單位成本],MATCH(tblInventory[[#This Row],[SKU]],tblProducts[SKU],0)),"")</f>
        <v/>
      </c>
      <c r="H80" s="6" t="str">
        <f>IF(OR(tblInventory[[#This Row],[數量]]="",tblInventory[[#This Row],[單位成本]]=""),"",tblInventory[[#This Row],[數量]]*tblInventory[[#This Row],[單位成本]])</f>
        <v/>
      </c>
    </row>
    <row r="81" spans="4:8" ht="19.95" customHeight="1">
      <c r="D81" t="str">
        <f>IFERROR(INDEX(tblProducts[正式名稱],MATCH(tblInventory[[#This Row],[SKU]],tblProducts[SKU],0)),"")</f>
        <v/>
      </c>
      <c r="G81" s="6" t="str">
        <f>IFERROR(INDEX(tblProducts[單位成本],MATCH(tblInventory[[#This Row],[SKU]],tblProducts[SKU],0)),"")</f>
        <v/>
      </c>
      <c r="H81" s="6" t="str">
        <f>IF(OR(tblInventory[[#This Row],[數量]]="",tblInventory[[#This Row],[單位成本]]=""),"",tblInventory[[#This Row],[數量]]*tblInventory[[#This Row],[單位成本]])</f>
        <v/>
      </c>
    </row>
    <row r="82" spans="4:8" ht="19.95" customHeight="1">
      <c r="D82" t="str">
        <f>IFERROR(INDEX(tblProducts[正式名稱],MATCH(tblInventory[[#This Row],[SKU]],tblProducts[SKU],0)),"")</f>
        <v/>
      </c>
      <c r="G82" s="6" t="str">
        <f>IFERROR(INDEX(tblProducts[單位成本],MATCH(tblInventory[[#This Row],[SKU]],tblProducts[SKU],0)),"")</f>
        <v/>
      </c>
      <c r="H82" s="6" t="str">
        <f>IF(OR(tblInventory[[#This Row],[數量]]="",tblInventory[[#This Row],[單位成本]]=""),"",tblInventory[[#This Row],[數量]]*tblInventory[[#This Row],[單位成本]])</f>
        <v/>
      </c>
    </row>
    <row r="83" spans="4:8" ht="19.95" customHeight="1">
      <c r="D83" t="str">
        <f>IFERROR(INDEX(tblProducts[正式名稱],MATCH(tblInventory[[#This Row],[SKU]],tblProducts[SKU],0)),"")</f>
        <v/>
      </c>
      <c r="G83" s="6" t="str">
        <f>IFERROR(INDEX(tblProducts[單位成本],MATCH(tblInventory[[#This Row],[SKU]],tblProducts[SKU],0)),"")</f>
        <v/>
      </c>
      <c r="H83" s="6" t="str">
        <f>IF(OR(tblInventory[[#This Row],[數量]]="",tblInventory[[#This Row],[單位成本]]=""),"",tblInventory[[#This Row],[數量]]*tblInventory[[#This Row],[單位成本]])</f>
        <v/>
      </c>
    </row>
    <row r="84" spans="4:8" ht="19.95" customHeight="1">
      <c r="D84" t="str">
        <f>IFERROR(INDEX(tblProducts[正式名稱],MATCH(tblInventory[[#This Row],[SKU]],tblProducts[SKU],0)),"")</f>
        <v/>
      </c>
      <c r="G84" s="6" t="str">
        <f>IFERROR(INDEX(tblProducts[單位成本],MATCH(tblInventory[[#This Row],[SKU]],tblProducts[SKU],0)),"")</f>
        <v/>
      </c>
      <c r="H84" s="6" t="str">
        <f>IF(OR(tblInventory[[#This Row],[數量]]="",tblInventory[[#This Row],[單位成本]]=""),"",tblInventory[[#This Row],[數量]]*tblInventory[[#This Row],[單位成本]])</f>
        <v/>
      </c>
    </row>
    <row r="85" spans="4:8" ht="19.95" customHeight="1">
      <c r="D85" t="str">
        <f>IFERROR(INDEX(tblProducts[正式名稱],MATCH(tblInventory[[#This Row],[SKU]],tblProducts[SKU],0)),"")</f>
        <v/>
      </c>
      <c r="G85" s="6" t="str">
        <f>IFERROR(INDEX(tblProducts[單位成本],MATCH(tblInventory[[#This Row],[SKU]],tblProducts[SKU],0)),"")</f>
        <v/>
      </c>
      <c r="H85" s="6" t="str">
        <f>IF(OR(tblInventory[[#This Row],[數量]]="",tblInventory[[#This Row],[單位成本]]=""),"",tblInventory[[#This Row],[數量]]*tblInventory[[#This Row],[單位成本]])</f>
        <v/>
      </c>
    </row>
    <row r="86" spans="4:8" ht="19.95" customHeight="1">
      <c r="D86" t="str">
        <f>IFERROR(INDEX(tblProducts[正式名稱],MATCH(tblInventory[[#This Row],[SKU]],tblProducts[SKU],0)),"")</f>
        <v/>
      </c>
      <c r="G86" s="6" t="str">
        <f>IFERROR(INDEX(tblProducts[單位成本],MATCH(tblInventory[[#This Row],[SKU]],tblProducts[SKU],0)),"")</f>
        <v/>
      </c>
      <c r="H86" s="6" t="str">
        <f>IF(OR(tblInventory[[#This Row],[數量]]="",tblInventory[[#This Row],[單位成本]]=""),"",tblInventory[[#This Row],[數量]]*tblInventory[[#This Row],[單位成本]])</f>
        <v/>
      </c>
    </row>
    <row r="87" spans="4:8" ht="19.95" customHeight="1">
      <c r="D87" t="str">
        <f>IFERROR(INDEX(tblProducts[正式名稱],MATCH(tblInventory[[#This Row],[SKU]],tblProducts[SKU],0)),"")</f>
        <v/>
      </c>
      <c r="G87" s="6" t="str">
        <f>IFERROR(INDEX(tblProducts[單位成本],MATCH(tblInventory[[#This Row],[SKU]],tblProducts[SKU],0)),"")</f>
        <v/>
      </c>
      <c r="H87" s="6" t="str">
        <f>IF(OR(tblInventory[[#This Row],[數量]]="",tblInventory[[#This Row],[單位成本]]=""),"",tblInventory[[#This Row],[數量]]*tblInventory[[#This Row],[單位成本]])</f>
        <v/>
      </c>
    </row>
    <row r="88" spans="4:8" ht="19.95" customHeight="1">
      <c r="D88" t="str">
        <f>IFERROR(INDEX(tblProducts[正式名稱],MATCH(tblInventory[[#This Row],[SKU]],tblProducts[SKU],0)),"")</f>
        <v/>
      </c>
      <c r="G88" s="6" t="str">
        <f>IFERROR(INDEX(tblProducts[單位成本],MATCH(tblInventory[[#This Row],[SKU]],tblProducts[SKU],0)),"")</f>
        <v/>
      </c>
      <c r="H88" s="6" t="str">
        <f>IF(OR(tblInventory[[#This Row],[數量]]="",tblInventory[[#This Row],[單位成本]]=""),"",tblInventory[[#This Row],[數量]]*tblInventory[[#This Row],[單位成本]])</f>
        <v/>
      </c>
    </row>
    <row r="89" spans="4:8" ht="19.95" customHeight="1">
      <c r="D89" t="str">
        <f>IFERROR(INDEX(tblProducts[正式名稱],MATCH(tblInventory[[#This Row],[SKU]],tblProducts[SKU],0)),"")</f>
        <v/>
      </c>
      <c r="G89" s="6" t="str">
        <f>IFERROR(INDEX(tblProducts[單位成本],MATCH(tblInventory[[#This Row],[SKU]],tblProducts[SKU],0)),"")</f>
        <v/>
      </c>
      <c r="H89" s="6" t="str">
        <f>IF(OR(tblInventory[[#This Row],[數量]]="",tblInventory[[#This Row],[單位成本]]=""),"",tblInventory[[#This Row],[數量]]*tblInventory[[#This Row],[單位成本]])</f>
        <v/>
      </c>
    </row>
    <row r="90" spans="4:8" ht="19.95" customHeight="1">
      <c r="D90" t="str">
        <f>IFERROR(INDEX(tblProducts[正式名稱],MATCH(tblInventory[[#This Row],[SKU]],tblProducts[SKU],0)),"")</f>
        <v/>
      </c>
      <c r="G90" s="6" t="str">
        <f>IFERROR(INDEX(tblProducts[單位成本],MATCH(tblInventory[[#This Row],[SKU]],tblProducts[SKU],0)),"")</f>
        <v/>
      </c>
      <c r="H90" s="6" t="str">
        <f>IF(OR(tblInventory[[#This Row],[數量]]="",tblInventory[[#This Row],[單位成本]]=""),"",tblInventory[[#This Row],[數量]]*tblInventory[[#This Row],[單位成本]])</f>
        <v/>
      </c>
    </row>
    <row r="91" spans="4:8" ht="19.95" customHeight="1">
      <c r="D91" t="str">
        <f>IFERROR(INDEX(tblProducts[正式名稱],MATCH(tblInventory[[#This Row],[SKU]],tblProducts[SKU],0)),"")</f>
        <v/>
      </c>
      <c r="G91" s="6" t="str">
        <f>IFERROR(INDEX(tblProducts[單位成本],MATCH(tblInventory[[#This Row],[SKU]],tblProducts[SKU],0)),"")</f>
        <v/>
      </c>
      <c r="H91" s="6" t="str">
        <f>IF(OR(tblInventory[[#This Row],[數量]]="",tblInventory[[#This Row],[單位成本]]=""),"",tblInventory[[#This Row],[數量]]*tblInventory[[#This Row],[單位成本]])</f>
        <v/>
      </c>
    </row>
    <row r="92" spans="4:8" ht="19.95" customHeight="1">
      <c r="D92" t="str">
        <f>IFERROR(INDEX(tblProducts[正式名稱],MATCH(tblInventory[[#This Row],[SKU]],tblProducts[SKU],0)),"")</f>
        <v/>
      </c>
      <c r="G92" s="6" t="str">
        <f>IFERROR(INDEX(tblProducts[單位成本],MATCH(tblInventory[[#This Row],[SKU]],tblProducts[SKU],0)),"")</f>
        <v/>
      </c>
      <c r="H92" s="6" t="str">
        <f>IF(OR(tblInventory[[#This Row],[數量]]="",tblInventory[[#This Row],[單位成本]]=""),"",tblInventory[[#This Row],[數量]]*tblInventory[[#This Row],[單位成本]])</f>
        <v/>
      </c>
    </row>
    <row r="93" spans="4:8" ht="19.95" customHeight="1">
      <c r="D93" t="str">
        <f>IFERROR(INDEX(tblProducts[正式名稱],MATCH(tblInventory[[#This Row],[SKU]],tblProducts[SKU],0)),"")</f>
        <v/>
      </c>
      <c r="G93" s="6" t="str">
        <f>IFERROR(INDEX(tblProducts[單位成本],MATCH(tblInventory[[#This Row],[SKU]],tblProducts[SKU],0)),"")</f>
        <v/>
      </c>
      <c r="H93" s="6" t="str">
        <f>IF(OR(tblInventory[[#This Row],[數量]]="",tblInventory[[#This Row],[單位成本]]=""),"",tblInventory[[#This Row],[數量]]*tblInventory[[#This Row],[單位成本]])</f>
        <v/>
      </c>
    </row>
    <row r="94" spans="4:8" ht="19.95" customHeight="1">
      <c r="D94" t="str">
        <f>IFERROR(INDEX(tblProducts[正式名稱],MATCH(tblInventory[[#This Row],[SKU]],tblProducts[SKU],0)),"")</f>
        <v/>
      </c>
      <c r="G94" s="6" t="str">
        <f>IFERROR(INDEX(tblProducts[單位成本],MATCH(tblInventory[[#This Row],[SKU]],tblProducts[SKU],0)),"")</f>
        <v/>
      </c>
      <c r="H94" s="6" t="str">
        <f>IF(OR(tblInventory[[#This Row],[數量]]="",tblInventory[[#This Row],[單位成本]]=""),"",tblInventory[[#This Row],[數量]]*tblInventory[[#This Row],[單位成本]])</f>
        <v/>
      </c>
    </row>
    <row r="95" spans="4:8" ht="19.95" customHeight="1">
      <c r="D95" t="str">
        <f>IFERROR(INDEX(tblProducts[正式名稱],MATCH(tblInventory[[#This Row],[SKU]],tblProducts[SKU],0)),"")</f>
        <v/>
      </c>
      <c r="G95" s="6" t="str">
        <f>IFERROR(INDEX(tblProducts[單位成本],MATCH(tblInventory[[#This Row],[SKU]],tblProducts[SKU],0)),"")</f>
        <v/>
      </c>
      <c r="H95" s="6" t="str">
        <f>IF(OR(tblInventory[[#This Row],[數量]]="",tblInventory[[#This Row],[單位成本]]=""),"",tblInventory[[#This Row],[數量]]*tblInventory[[#This Row],[單位成本]])</f>
        <v/>
      </c>
    </row>
    <row r="96" spans="4:8" ht="19.95" customHeight="1">
      <c r="D96" t="str">
        <f>IFERROR(INDEX(tblProducts[正式名稱],MATCH(tblInventory[[#This Row],[SKU]],tblProducts[SKU],0)),"")</f>
        <v/>
      </c>
      <c r="G96" s="6" t="str">
        <f>IFERROR(INDEX(tblProducts[單位成本],MATCH(tblInventory[[#This Row],[SKU]],tblProducts[SKU],0)),"")</f>
        <v/>
      </c>
      <c r="H96" s="6" t="str">
        <f>IF(OR(tblInventory[[#This Row],[數量]]="",tblInventory[[#This Row],[單位成本]]=""),"",tblInventory[[#This Row],[數量]]*tblInventory[[#This Row],[單位成本]])</f>
        <v/>
      </c>
    </row>
    <row r="97" spans="4:8" ht="19.95" customHeight="1">
      <c r="D97" t="str">
        <f>IFERROR(INDEX(tblProducts[正式名稱],MATCH(tblInventory[[#This Row],[SKU]],tblProducts[SKU],0)),"")</f>
        <v/>
      </c>
      <c r="G97" s="6" t="str">
        <f>IFERROR(INDEX(tblProducts[單位成本],MATCH(tblInventory[[#This Row],[SKU]],tblProducts[SKU],0)),"")</f>
        <v/>
      </c>
      <c r="H97" s="6" t="str">
        <f>IF(OR(tblInventory[[#This Row],[數量]]="",tblInventory[[#This Row],[單位成本]]=""),"",tblInventory[[#This Row],[數量]]*tblInventory[[#This Row],[單位成本]])</f>
        <v/>
      </c>
    </row>
    <row r="98" spans="4:8" ht="19.95" customHeight="1">
      <c r="D98" t="str">
        <f>IFERROR(INDEX(tblProducts[正式名稱],MATCH(tblInventory[[#This Row],[SKU]],tblProducts[SKU],0)),"")</f>
        <v/>
      </c>
      <c r="G98" s="6" t="str">
        <f>IFERROR(INDEX(tblProducts[單位成本],MATCH(tblInventory[[#This Row],[SKU]],tblProducts[SKU],0)),"")</f>
        <v/>
      </c>
      <c r="H98" s="6" t="str">
        <f>IF(OR(tblInventory[[#This Row],[數量]]="",tblInventory[[#This Row],[單位成本]]=""),"",tblInventory[[#This Row],[數量]]*tblInventory[[#This Row],[單位成本]])</f>
        <v/>
      </c>
    </row>
    <row r="99" spans="4:8" ht="19.95" customHeight="1">
      <c r="D99" t="str">
        <f>IFERROR(INDEX(tblProducts[正式名稱],MATCH(tblInventory[[#This Row],[SKU]],tblProducts[SKU],0)),"")</f>
        <v/>
      </c>
      <c r="G99" s="6" t="str">
        <f>IFERROR(INDEX(tblProducts[單位成本],MATCH(tblInventory[[#This Row],[SKU]],tblProducts[SKU],0)),"")</f>
        <v/>
      </c>
      <c r="H99" s="6" t="str">
        <f>IF(OR(tblInventory[[#This Row],[數量]]="",tblInventory[[#This Row],[單位成本]]=""),"",tblInventory[[#This Row],[數量]]*tblInventory[[#This Row],[單位成本]])</f>
        <v/>
      </c>
    </row>
    <row r="100" spans="4:8" ht="19.95" customHeight="1">
      <c r="D100" t="str">
        <f>IFERROR(INDEX(tblProducts[正式名稱],MATCH(tblInventory[[#This Row],[SKU]],tblProducts[SKU],0)),"")</f>
        <v/>
      </c>
      <c r="G100" s="6" t="str">
        <f>IFERROR(INDEX(tblProducts[單位成本],MATCH(tblInventory[[#This Row],[SKU]],tblProducts[SKU],0)),"")</f>
        <v/>
      </c>
      <c r="H100" s="6" t="str">
        <f>IF(OR(tblInventory[[#This Row],[數量]]="",tblInventory[[#This Row],[單位成本]]=""),"",tblInventory[[#This Row],[數量]]*tblInventory[[#This Row],[單位成本]])</f>
        <v/>
      </c>
    </row>
    <row r="101" spans="4:8" ht="19.95" customHeight="1">
      <c r="D101" t="str">
        <f>IFERROR(INDEX(tblProducts[正式名稱],MATCH(tblInventory[[#This Row],[SKU]],tblProducts[SKU],0)),"")</f>
        <v/>
      </c>
      <c r="G101" s="6" t="str">
        <f>IFERROR(INDEX(tblProducts[單位成本],MATCH(tblInventory[[#This Row],[SKU]],tblProducts[SKU],0)),"")</f>
        <v/>
      </c>
      <c r="H101" s="6" t="str">
        <f>IF(OR(tblInventory[[#This Row],[數量]]="",tblInventory[[#This Row],[單位成本]]=""),"",tblInventory[[#This Row],[數量]]*tblInventory[[#This Row],[單位成本]])</f>
        <v/>
      </c>
    </row>
    <row r="102" spans="4:8" ht="19.95" customHeight="1">
      <c r="D102" t="str">
        <f>IFERROR(INDEX(tblProducts[正式名稱],MATCH(tblInventory[[#This Row],[SKU]],tblProducts[SKU],0)),"")</f>
        <v/>
      </c>
      <c r="G102" s="6" t="str">
        <f>IFERROR(INDEX(tblProducts[單位成本],MATCH(tblInventory[[#This Row],[SKU]],tblProducts[SKU],0)),"")</f>
        <v/>
      </c>
      <c r="H102" s="6" t="str">
        <f>IF(OR(tblInventory[[#This Row],[數量]]="",tblInventory[[#This Row],[單位成本]]=""),"",tblInventory[[#This Row],[數量]]*tblInventory[[#This Row],[單位成本]])</f>
        <v/>
      </c>
    </row>
    <row r="103" spans="4:8" ht="19.95" customHeight="1">
      <c r="D103" t="str">
        <f>IFERROR(INDEX(tblProducts[正式名稱],MATCH(tblInventory[[#This Row],[SKU]],tblProducts[SKU],0)),"")</f>
        <v/>
      </c>
      <c r="G103" s="6" t="str">
        <f>IFERROR(INDEX(tblProducts[單位成本],MATCH(tblInventory[[#This Row],[SKU]],tblProducts[SKU],0)),"")</f>
        <v/>
      </c>
      <c r="H103" s="6" t="str">
        <f>IF(OR(tblInventory[[#This Row],[數量]]="",tblInventory[[#This Row],[單位成本]]=""),"",tblInventory[[#This Row],[數量]]*tblInventory[[#This Row],[單位成本]])</f>
        <v/>
      </c>
    </row>
    <row r="104" spans="4:8" ht="19.95" customHeight="1">
      <c r="D104" t="str">
        <f>IFERROR(INDEX(tblProducts[正式名稱],MATCH(tblInventory[[#This Row],[SKU]],tblProducts[SKU],0)),"")</f>
        <v/>
      </c>
      <c r="G104" s="6" t="str">
        <f>IFERROR(INDEX(tblProducts[單位成本],MATCH(tblInventory[[#This Row],[SKU]],tblProducts[SKU],0)),"")</f>
        <v/>
      </c>
      <c r="H104" s="6" t="str">
        <f>IF(OR(tblInventory[[#This Row],[數量]]="",tblInventory[[#This Row],[單位成本]]=""),"",tblInventory[[#This Row],[數量]]*tblInventory[[#This Row],[單位成本]])</f>
        <v/>
      </c>
    </row>
    <row r="105" spans="4:8" ht="19.95" customHeight="1">
      <c r="D105" t="str">
        <f>IFERROR(INDEX(tblProducts[正式名稱],MATCH(tblInventory[[#This Row],[SKU]],tblProducts[SKU],0)),"")</f>
        <v/>
      </c>
      <c r="G105" s="6" t="str">
        <f>IFERROR(INDEX(tblProducts[單位成本],MATCH(tblInventory[[#This Row],[SKU]],tblProducts[SKU],0)),"")</f>
        <v/>
      </c>
      <c r="H105" s="6" t="str">
        <f>IF(OR(tblInventory[[#This Row],[數量]]="",tblInventory[[#This Row],[單位成本]]=""),"",tblInventory[[#This Row],[數量]]*tblInventory[[#This Row],[單位成本]])</f>
        <v/>
      </c>
    </row>
    <row r="106" spans="4:8" ht="19.95" customHeight="1">
      <c r="D106" t="str">
        <f>IFERROR(INDEX(tblProducts[正式名稱],MATCH(tblInventory[[#This Row],[SKU]],tblProducts[SKU],0)),"")</f>
        <v/>
      </c>
      <c r="G106" s="6" t="str">
        <f>IFERROR(INDEX(tblProducts[單位成本],MATCH(tblInventory[[#This Row],[SKU]],tblProducts[SKU],0)),"")</f>
        <v/>
      </c>
      <c r="H106" s="6" t="str">
        <f>IF(OR(tblInventory[[#This Row],[數量]]="",tblInventory[[#This Row],[單位成本]]=""),"",tblInventory[[#This Row],[數量]]*tblInventory[[#This Row],[單位成本]])</f>
        <v/>
      </c>
    </row>
    <row r="107" spans="4:8" ht="19.95" customHeight="1">
      <c r="D107" t="str">
        <f>IFERROR(INDEX(tblProducts[正式名稱],MATCH(tblInventory[[#This Row],[SKU]],tblProducts[SKU],0)),"")</f>
        <v/>
      </c>
      <c r="G107" s="6" t="str">
        <f>IFERROR(INDEX(tblProducts[單位成本],MATCH(tblInventory[[#This Row],[SKU]],tblProducts[SKU],0)),"")</f>
        <v/>
      </c>
      <c r="H107" s="6" t="str">
        <f>IF(OR(tblInventory[[#This Row],[數量]]="",tblInventory[[#This Row],[單位成本]]=""),"",tblInventory[[#This Row],[數量]]*tblInventory[[#This Row],[單位成本]])</f>
        <v/>
      </c>
    </row>
    <row r="108" spans="4:8" ht="19.95" customHeight="1">
      <c r="D108" t="str">
        <f>IFERROR(INDEX(tblProducts[正式名稱],MATCH(tblInventory[[#This Row],[SKU]],tblProducts[SKU],0)),"")</f>
        <v/>
      </c>
      <c r="G108" s="6" t="str">
        <f>IFERROR(INDEX(tblProducts[單位成本],MATCH(tblInventory[[#This Row],[SKU]],tblProducts[SKU],0)),"")</f>
        <v/>
      </c>
      <c r="H108" s="6" t="str">
        <f>IF(OR(tblInventory[[#This Row],[數量]]="",tblInventory[[#This Row],[單位成本]]=""),"",tblInventory[[#This Row],[數量]]*tblInventory[[#This Row],[單位成本]])</f>
        <v/>
      </c>
    </row>
    <row r="109" spans="4:8" ht="19.95" customHeight="1">
      <c r="D109" t="str">
        <f>IFERROR(INDEX(tblProducts[正式名稱],MATCH(tblInventory[[#This Row],[SKU]],tblProducts[SKU],0)),"")</f>
        <v/>
      </c>
      <c r="G109" s="6" t="str">
        <f>IFERROR(INDEX(tblProducts[單位成本],MATCH(tblInventory[[#This Row],[SKU]],tblProducts[SKU],0)),"")</f>
        <v/>
      </c>
      <c r="H109" s="6" t="str">
        <f>IF(OR(tblInventory[[#This Row],[數量]]="",tblInventory[[#This Row],[單位成本]]=""),"",tblInventory[[#This Row],[數量]]*tblInventory[[#This Row],[單位成本]])</f>
        <v/>
      </c>
    </row>
    <row r="110" spans="4:8" ht="19.95" customHeight="1">
      <c r="D110" t="str">
        <f>IFERROR(INDEX(tblProducts[正式名稱],MATCH(tblInventory[[#This Row],[SKU]],tblProducts[SKU],0)),"")</f>
        <v/>
      </c>
      <c r="G110" s="6" t="str">
        <f>IFERROR(INDEX(tblProducts[單位成本],MATCH(tblInventory[[#This Row],[SKU]],tblProducts[SKU],0)),"")</f>
        <v/>
      </c>
      <c r="H110" s="6" t="str">
        <f>IF(OR(tblInventory[[#This Row],[數量]]="",tblInventory[[#This Row],[單位成本]]=""),"",tblInventory[[#This Row],[數量]]*tblInventory[[#This Row],[單位成本]])</f>
        <v/>
      </c>
    </row>
    <row r="111" spans="4:8" ht="19.95" customHeight="1">
      <c r="D111" t="str">
        <f>IFERROR(INDEX(tblProducts[正式名稱],MATCH(tblInventory[[#This Row],[SKU]],tblProducts[SKU],0)),"")</f>
        <v/>
      </c>
      <c r="G111" s="6" t="str">
        <f>IFERROR(INDEX(tblProducts[單位成本],MATCH(tblInventory[[#This Row],[SKU]],tblProducts[SKU],0)),"")</f>
        <v/>
      </c>
      <c r="H111" s="6" t="str">
        <f>IF(OR(tblInventory[[#This Row],[數量]]="",tblInventory[[#This Row],[單位成本]]=""),"",tblInventory[[#This Row],[數量]]*tblInventory[[#This Row],[單位成本]])</f>
        <v/>
      </c>
    </row>
    <row r="112" spans="4:8" ht="19.95" customHeight="1">
      <c r="D112" t="str">
        <f>IFERROR(INDEX(tblProducts[正式名稱],MATCH(tblInventory[[#This Row],[SKU]],tblProducts[SKU],0)),"")</f>
        <v/>
      </c>
      <c r="G112" s="6" t="str">
        <f>IFERROR(INDEX(tblProducts[單位成本],MATCH(tblInventory[[#This Row],[SKU]],tblProducts[SKU],0)),"")</f>
        <v/>
      </c>
      <c r="H112" s="6" t="str">
        <f>IF(OR(tblInventory[[#This Row],[數量]]="",tblInventory[[#This Row],[單位成本]]=""),"",tblInventory[[#This Row],[數量]]*tblInventory[[#This Row],[單位成本]])</f>
        <v/>
      </c>
    </row>
    <row r="113" spans="4:8" ht="19.95" customHeight="1">
      <c r="D113" t="str">
        <f>IFERROR(INDEX(tblProducts[正式名稱],MATCH(tblInventory[[#This Row],[SKU]],tblProducts[SKU],0)),"")</f>
        <v/>
      </c>
      <c r="G113" s="6" t="str">
        <f>IFERROR(INDEX(tblProducts[單位成本],MATCH(tblInventory[[#This Row],[SKU]],tblProducts[SKU],0)),"")</f>
        <v/>
      </c>
      <c r="H113" s="6" t="str">
        <f>IF(OR(tblInventory[[#This Row],[數量]]="",tblInventory[[#This Row],[單位成本]]=""),"",tblInventory[[#This Row],[數量]]*tblInventory[[#This Row],[單位成本]])</f>
        <v/>
      </c>
    </row>
    <row r="114" spans="4:8" ht="19.95" customHeight="1">
      <c r="D114" t="str">
        <f>IFERROR(INDEX(tblProducts[正式名稱],MATCH(tblInventory[[#This Row],[SKU]],tblProducts[SKU],0)),"")</f>
        <v/>
      </c>
      <c r="G114" s="6" t="str">
        <f>IFERROR(INDEX(tblProducts[單位成本],MATCH(tblInventory[[#This Row],[SKU]],tblProducts[SKU],0)),"")</f>
        <v/>
      </c>
      <c r="H114" s="6" t="str">
        <f>IF(OR(tblInventory[[#This Row],[數量]]="",tblInventory[[#This Row],[單位成本]]=""),"",tblInventory[[#This Row],[數量]]*tblInventory[[#This Row],[單位成本]])</f>
        <v/>
      </c>
    </row>
    <row r="115" spans="4:8" ht="19.95" customHeight="1">
      <c r="D115" t="str">
        <f>IFERROR(INDEX(tblProducts[正式名稱],MATCH(tblInventory[[#This Row],[SKU]],tblProducts[SKU],0)),"")</f>
        <v/>
      </c>
      <c r="G115" s="6" t="str">
        <f>IFERROR(INDEX(tblProducts[單位成本],MATCH(tblInventory[[#This Row],[SKU]],tblProducts[SKU],0)),"")</f>
        <v/>
      </c>
      <c r="H115" s="6" t="str">
        <f>IF(OR(tblInventory[[#This Row],[數量]]="",tblInventory[[#This Row],[單位成本]]=""),"",tblInventory[[#This Row],[數量]]*tblInventory[[#This Row],[單位成本]])</f>
        <v/>
      </c>
    </row>
    <row r="116" spans="4:8" ht="19.95" customHeight="1">
      <c r="D116" t="str">
        <f>IFERROR(INDEX(tblProducts[正式名稱],MATCH(tblInventory[[#This Row],[SKU]],tblProducts[SKU],0)),"")</f>
        <v/>
      </c>
      <c r="G116" s="6" t="str">
        <f>IFERROR(INDEX(tblProducts[單位成本],MATCH(tblInventory[[#This Row],[SKU]],tblProducts[SKU],0)),"")</f>
        <v/>
      </c>
      <c r="H116" s="6" t="str">
        <f>IF(OR(tblInventory[[#This Row],[數量]]="",tblInventory[[#This Row],[單位成本]]=""),"",tblInventory[[#This Row],[數量]]*tblInventory[[#This Row],[單位成本]])</f>
        <v/>
      </c>
    </row>
    <row r="117" spans="4:8" ht="19.95" customHeight="1">
      <c r="D117" t="str">
        <f>IFERROR(INDEX(tblProducts[正式名稱],MATCH(tblInventory[[#This Row],[SKU]],tblProducts[SKU],0)),"")</f>
        <v/>
      </c>
      <c r="G117" s="6" t="str">
        <f>IFERROR(INDEX(tblProducts[單位成本],MATCH(tblInventory[[#This Row],[SKU]],tblProducts[SKU],0)),"")</f>
        <v/>
      </c>
      <c r="H117" s="6" t="str">
        <f>IF(OR(tblInventory[[#This Row],[數量]]="",tblInventory[[#This Row],[單位成本]]=""),"",tblInventory[[#This Row],[數量]]*tblInventory[[#This Row],[單位成本]])</f>
        <v/>
      </c>
    </row>
    <row r="118" spans="4:8" ht="19.95" customHeight="1">
      <c r="D118" t="str">
        <f>IFERROR(INDEX(tblProducts[正式名稱],MATCH(tblInventory[[#This Row],[SKU]],tblProducts[SKU],0)),"")</f>
        <v/>
      </c>
      <c r="G118" s="6" t="str">
        <f>IFERROR(INDEX(tblProducts[單位成本],MATCH(tblInventory[[#This Row],[SKU]],tblProducts[SKU],0)),"")</f>
        <v/>
      </c>
      <c r="H118" s="6" t="str">
        <f>IF(OR(tblInventory[[#This Row],[數量]]="",tblInventory[[#This Row],[單位成本]]=""),"",tblInventory[[#This Row],[數量]]*tblInventory[[#This Row],[單位成本]])</f>
        <v/>
      </c>
    </row>
    <row r="119" spans="4:8" ht="19.95" customHeight="1">
      <c r="D119" t="str">
        <f>IFERROR(INDEX(tblProducts[正式名稱],MATCH(tblInventory[[#This Row],[SKU]],tblProducts[SKU],0)),"")</f>
        <v/>
      </c>
      <c r="G119" s="6" t="str">
        <f>IFERROR(INDEX(tblProducts[單位成本],MATCH(tblInventory[[#This Row],[SKU]],tblProducts[SKU],0)),"")</f>
        <v/>
      </c>
      <c r="H119" s="6" t="str">
        <f>IF(OR(tblInventory[[#This Row],[數量]]="",tblInventory[[#This Row],[單位成本]]=""),"",tblInventory[[#This Row],[數量]]*tblInventory[[#This Row],[單位成本]])</f>
        <v/>
      </c>
    </row>
    <row r="120" spans="4:8" ht="19.95" customHeight="1">
      <c r="D120" t="str">
        <f>IFERROR(INDEX(tblProducts[正式名稱],MATCH(tblInventory[[#This Row],[SKU]],tblProducts[SKU],0)),"")</f>
        <v/>
      </c>
      <c r="G120" s="6" t="str">
        <f>IFERROR(INDEX(tblProducts[單位成本],MATCH(tblInventory[[#This Row],[SKU]],tblProducts[SKU],0)),"")</f>
        <v/>
      </c>
      <c r="H120" s="6" t="str">
        <f>IF(OR(tblInventory[[#This Row],[數量]]="",tblInventory[[#This Row],[單位成本]]=""),"",tblInventory[[#This Row],[數量]]*tblInventory[[#This Row],[單位成本]])</f>
        <v/>
      </c>
    </row>
    <row r="121" spans="4:8" ht="19.95" customHeight="1">
      <c r="D121" t="str">
        <f>IFERROR(INDEX(tblProducts[正式名稱],MATCH(tblInventory[[#This Row],[SKU]],tblProducts[SKU],0)),"")</f>
        <v/>
      </c>
      <c r="G121" s="6" t="str">
        <f>IFERROR(INDEX(tblProducts[單位成本],MATCH(tblInventory[[#This Row],[SKU]],tblProducts[SKU],0)),"")</f>
        <v/>
      </c>
      <c r="H121" s="6" t="str">
        <f>IF(OR(tblInventory[[#This Row],[數量]]="",tblInventory[[#This Row],[單位成本]]=""),"",tblInventory[[#This Row],[數量]]*tblInventory[[#This Row],[單位成本]])</f>
        <v/>
      </c>
    </row>
    <row r="122" spans="4:8" ht="19.95" customHeight="1">
      <c r="D122" t="str">
        <f>IFERROR(INDEX(tblProducts[正式名稱],MATCH(tblInventory[[#This Row],[SKU]],tblProducts[SKU],0)),"")</f>
        <v/>
      </c>
      <c r="G122" s="6" t="str">
        <f>IFERROR(INDEX(tblProducts[單位成本],MATCH(tblInventory[[#This Row],[SKU]],tblProducts[SKU],0)),"")</f>
        <v/>
      </c>
      <c r="H122" s="6" t="str">
        <f>IF(OR(tblInventory[[#This Row],[數量]]="",tblInventory[[#This Row],[單位成本]]=""),"",tblInventory[[#This Row],[數量]]*tblInventory[[#This Row],[單位成本]])</f>
        <v/>
      </c>
    </row>
    <row r="123" spans="4:8" ht="19.95" customHeight="1">
      <c r="D123" t="str">
        <f>IFERROR(INDEX(tblProducts[正式名稱],MATCH(tblInventory[[#This Row],[SKU]],tblProducts[SKU],0)),"")</f>
        <v/>
      </c>
      <c r="G123" s="6" t="str">
        <f>IFERROR(INDEX(tblProducts[單位成本],MATCH(tblInventory[[#This Row],[SKU]],tblProducts[SKU],0)),"")</f>
        <v/>
      </c>
      <c r="H123" s="6" t="str">
        <f>IF(OR(tblInventory[[#This Row],[數量]]="",tblInventory[[#This Row],[單位成本]]=""),"",tblInventory[[#This Row],[數量]]*tblInventory[[#This Row],[單位成本]])</f>
        <v/>
      </c>
    </row>
    <row r="124" spans="4:8" ht="19.95" customHeight="1">
      <c r="D124" t="str">
        <f>IFERROR(INDEX(tblProducts[正式名稱],MATCH(tblInventory[[#This Row],[SKU]],tblProducts[SKU],0)),"")</f>
        <v/>
      </c>
      <c r="G124" s="6" t="str">
        <f>IFERROR(INDEX(tblProducts[單位成本],MATCH(tblInventory[[#This Row],[SKU]],tblProducts[SKU],0)),"")</f>
        <v/>
      </c>
      <c r="H124" s="6" t="str">
        <f>IF(OR(tblInventory[[#This Row],[數量]]="",tblInventory[[#This Row],[單位成本]]=""),"",tblInventory[[#This Row],[數量]]*tblInventory[[#This Row],[單位成本]])</f>
        <v/>
      </c>
    </row>
    <row r="125" spans="4:8" ht="19.95" customHeight="1">
      <c r="D125" t="str">
        <f>IFERROR(INDEX(tblProducts[正式名稱],MATCH(tblInventory[[#This Row],[SKU]],tblProducts[SKU],0)),"")</f>
        <v/>
      </c>
      <c r="G125" s="6" t="str">
        <f>IFERROR(INDEX(tblProducts[單位成本],MATCH(tblInventory[[#This Row],[SKU]],tblProducts[SKU],0)),"")</f>
        <v/>
      </c>
      <c r="H125" s="6" t="str">
        <f>IF(OR(tblInventory[[#This Row],[數量]]="",tblInventory[[#This Row],[單位成本]]=""),"",tblInventory[[#This Row],[數量]]*tblInventory[[#This Row],[單位成本]])</f>
        <v/>
      </c>
    </row>
    <row r="126" spans="4:8" ht="19.95" customHeight="1">
      <c r="D126" t="str">
        <f>IFERROR(INDEX(tblProducts[正式名稱],MATCH(tblInventory[[#This Row],[SKU]],tblProducts[SKU],0)),"")</f>
        <v/>
      </c>
      <c r="G126" s="6" t="str">
        <f>IFERROR(INDEX(tblProducts[單位成本],MATCH(tblInventory[[#This Row],[SKU]],tblProducts[SKU],0)),"")</f>
        <v/>
      </c>
      <c r="H126" s="6" t="str">
        <f>IF(OR(tblInventory[[#This Row],[數量]]="",tblInventory[[#This Row],[單位成本]]=""),"",tblInventory[[#This Row],[數量]]*tblInventory[[#This Row],[單位成本]])</f>
        <v/>
      </c>
    </row>
    <row r="127" spans="4:8" ht="19.95" customHeight="1">
      <c r="D127" t="str">
        <f>IFERROR(INDEX(tblProducts[正式名稱],MATCH(tblInventory[[#This Row],[SKU]],tblProducts[SKU],0)),"")</f>
        <v/>
      </c>
      <c r="G127" s="6" t="str">
        <f>IFERROR(INDEX(tblProducts[單位成本],MATCH(tblInventory[[#This Row],[SKU]],tblProducts[SKU],0)),"")</f>
        <v/>
      </c>
      <c r="H127" s="6" t="str">
        <f>IF(OR(tblInventory[[#This Row],[數量]]="",tblInventory[[#This Row],[單位成本]]=""),"",tblInventory[[#This Row],[數量]]*tblInventory[[#This Row],[單位成本]])</f>
        <v/>
      </c>
    </row>
    <row r="128" spans="4:8" ht="19.95" customHeight="1">
      <c r="D128" t="str">
        <f>IFERROR(INDEX(tblProducts[正式名稱],MATCH(tblInventory[[#This Row],[SKU]],tblProducts[SKU],0)),"")</f>
        <v/>
      </c>
      <c r="G128" s="6" t="str">
        <f>IFERROR(INDEX(tblProducts[單位成本],MATCH(tblInventory[[#This Row],[SKU]],tblProducts[SKU],0)),"")</f>
        <v/>
      </c>
      <c r="H128" s="6" t="str">
        <f>IF(OR(tblInventory[[#This Row],[數量]]="",tblInventory[[#This Row],[單位成本]]=""),"",tblInventory[[#This Row],[數量]]*tblInventory[[#This Row],[單位成本]])</f>
        <v/>
      </c>
    </row>
    <row r="129" spans="4:8" ht="19.95" customHeight="1">
      <c r="D129" t="str">
        <f>IFERROR(INDEX(tblProducts[正式名稱],MATCH(tblInventory[[#This Row],[SKU]],tblProducts[SKU],0)),"")</f>
        <v/>
      </c>
      <c r="G129" s="6" t="str">
        <f>IFERROR(INDEX(tblProducts[單位成本],MATCH(tblInventory[[#This Row],[SKU]],tblProducts[SKU],0)),"")</f>
        <v/>
      </c>
      <c r="H129" s="6" t="str">
        <f>IF(OR(tblInventory[[#This Row],[數量]]="",tblInventory[[#This Row],[單位成本]]=""),"",tblInventory[[#This Row],[數量]]*tblInventory[[#This Row],[單位成本]])</f>
        <v/>
      </c>
    </row>
    <row r="130" spans="4:8" ht="19.95" customHeight="1">
      <c r="D130" t="str">
        <f>IFERROR(INDEX(tblProducts[正式名稱],MATCH(tblInventory[[#This Row],[SKU]],tblProducts[SKU],0)),"")</f>
        <v/>
      </c>
      <c r="G130" s="6" t="str">
        <f>IFERROR(INDEX(tblProducts[單位成本],MATCH(tblInventory[[#This Row],[SKU]],tblProducts[SKU],0)),"")</f>
        <v/>
      </c>
      <c r="H130" s="6" t="str">
        <f>IF(OR(tblInventory[[#This Row],[數量]]="",tblInventory[[#This Row],[單位成本]]=""),"",tblInventory[[#This Row],[數量]]*tblInventory[[#This Row],[單位成本]])</f>
        <v/>
      </c>
    </row>
    <row r="131" spans="4:8" ht="19.95" customHeight="1">
      <c r="D131" t="str">
        <f>IFERROR(INDEX(tblProducts[正式名稱],MATCH(tblInventory[[#This Row],[SKU]],tblProducts[SKU],0)),"")</f>
        <v/>
      </c>
      <c r="G131" s="6" t="str">
        <f>IFERROR(INDEX(tblProducts[單位成本],MATCH(tblInventory[[#This Row],[SKU]],tblProducts[SKU],0)),"")</f>
        <v/>
      </c>
      <c r="H131" s="6" t="str">
        <f>IF(OR(tblInventory[[#This Row],[數量]]="",tblInventory[[#This Row],[單位成本]]=""),"",tblInventory[[#This Row],[數量]]*tblInventory[[#This Row],[單位成本]])</f>
        <v/>
      </c>
    </row>
    <row r="132" spans="4:8" ht="19.95" customHeight="1">
      <c r="D132" t="str">
        <f>IFERROR(INDEX(tblProducts[正式名稱],MATCH(tblInventory[[#This Row],[SKU]],tblProducts[SKU],0)),"")</f>
        <v/>
      </c>
      <c r="G132" s="6" t="str">
        <f>IFERROR(INDEX(tblProducts[單位成本],MATCH(tblInventory[[#This Row],[SKU]],tblProducts[SKU],0)),"")</f>
        <v/>
      </c>
      <c r="H132" s="6" t="str">
        <f>IF(OR(tblInventory[[#This Row],[數量]]="",tblInventory[[#This Row],[單位成本]]=""),"",tblInventory[[#This Row],[數量]]*tblInventory[[#This Row],[單位成本]])</f>
        <v/>
      </c>
    </row>
    <row r="133" spans="4:8" ht="19.95" customHeight="1">
      <c r="D133" t="str">
        <f>IFERROR(INDEX(tblProducts[正式名稱],MATCH(tblInventory[[#This Row],[SKU]],tblProducts[SKU],0)),"")</f>
        <v/>
      </c>
      <c r="G133" s="6" t="str">
        <f>IFERROR(INDEX(tblProducts[單位成本],MATCH(tblInventory[[#This Row],[SKU]],tblProducts[SKU],0)),"")</f>
        <v/>
      </c>
      <c r="H133" s="6" t="str">
        <f>IF(OR(tblInventory[[#This Row],[數量]]="",tblInventory[[#This Row],[單位成本]]=""),"",tblInventory[[#This Row],[數量]]*tblInventory[[#This Row],[單位成本]])</f>
        <v/>
      </c>
    </row>
    <row r="134" spans="4:8" ht="19.95" customHeight="1">
      <c r="D134" t="str">
        <f>IFERROR(INDEX(tblProducts[正式名稱],MATCH(tblInventory[[#This Row],[SKU]],tblProducts[SKU],0)),"")</f>
        <v/>
      </c>
      <c r="G134" s="6" t="str">
        <f>IFERROR(INDEX(tblProducts[單位成本],MATCH(tblInventory[[#This Row],[SKU]],tblProducts[SKU],0)),"")</f>
        <v/>
      </c>
      <c r="H134" s="6" t="str">
        <f>IF(OR(tblInventory[[#This Row],[數量]]="",tblInventory[[#This Row],[單位成本]]=""),"",tblInventory[[#This Row],[數量]]*tblInventory[[#This Row],[單位成本]])</f>
        <v/>
      </c>
    </row>
    <row r="135" spans="4:8" ht="19.95" customHeight="1">
      <c r="D135" t="str">
        <f>IFERROR(INDEX(tblProducts[正式名稱],MATCH(tblInventory[[#This Row],[SKU]],tblProducts[SKU],0)),"")</f>
        <v/>
      </c>
      <c r="G135" s="6" t="str">
        <f>IFERROR(INDEX(tblProducts[單位成本],MATCH(tblInventory[[#This Row],[SKU]],tblProducts[SKU],0)),"")</f>
        <v/>
      </c>
      <c r="H135" s="6" t="str">
        <f>IF(OR(tblInventory[[#This Row],[數量]]="",tblInventory[[#This Row],[單位成本]]=""),"",tblInventory[[#This Row],[數量]]*tblInventory[[#This Row],[單位成本]])</f>
        <v/>
      </c>
    </row>
    <row r="136" spans="4:8" ht="19.95" customHeight="1">
      <c r="D136" t="str">
        <f>IFERROR(INDEX(tblProducts[正式名稱],MATCH(tblInventory[[#This Row],[SKU]],tblProducts[SKU],0)),"")</f>
        <v/>
      </c>
      <c r="G136" s="6" t="str">
        <f>IFERROR(INDEX(tblProducts[單位成本],MATCH(tblInventory[[#This Row],[SKU]],tblProducts[SKU],0)),"")</f>
        <v/>
      </c>
      <c r="H136" s="6" t="str">
        <f>IF(OR(tblInventory[[#This Row],[數量]]="",tblInventory[[#This Row],[單位成本]]=""),"",tblInventory[[#This Row],[數量]]*tblInventory[[#This Row],[單位成本]])</f>
        <v/>
      </c>
    </row>
    <row r="137" spans="4:8" ht="19.95" customHeight="1">
      <c r="D137" t="str">
        <f>IFERROR(INDEX(tblProducts[正式名稱],MATCH(tblInventory[[#This Row],[SKU]],tblProducts[SKU],0)),"")</f>
        <v/>
      </c>
      <c r="G137" s="6" t="str">
        <f>IFERROR(INDEX(tblProducts[單位成本],MATCH(tblInventory[[#This Row],[SKU]],tblProducts[SKU],0)),"")</f>
        <v/>
      </c>
      <c r="H137" s="6" t="str">
        <f>IF(OR(tblInventory[[#This Row],[數量]]="",tblInventory[[#This Row],[單位成本]]=""),"",tblInventory[[#This Row],[數量]]*tblInventory[[#This Row],[單位成本]])</f>
        <v/>
      </c>
    </row>
    <row r="138" spans="4:8" ht="19.95" customHeight="1">
      <c r="D138" t="str">
        <f>IFERROR(INDEX(tblProducts[正式名稱],MATCH(tblInventory[[#This Row],[SKU]],tblProducts[SKU],0)),"")</f>
        <v/>
      </c>
      <c r="G138" s="6" t="str">
        <f>IFERROR(INDEX(tblProducts[單位成本],MATCH(tblInventory[[#This Row],[SKU]],tblProducts[SKU],0)),"")</f>
        <v/>
      </c>
      <c r="H138" s="6" t="str">
        <f>IF(OR(tblInventory[[#This Row],[數量]]="",tblInventory[[#This Row],[單位成本]]=""),"",tblInventory[[#This Row],[數量]]*tblInventory[[#This Row],[單位成本]])</f>
        <v/>
      </c>
    </row>
    <row r="139" spans="4:8" ht="19.95" customHeight="1">
      <c r="D139" t="str">
        <f>IFERROR(INDEX(tblProducts[正式名稱],MATCH(tblInventory[[#This Row],[SKU]],tblProducts[SKU],0)),"")</f>
        <v/>
      </c>
      <c r="G139" s="6" t="str">
        <f>IFERROR(INDEX(tblProducts[單位成本],MATCH(tblInventory[[#This Row],[SKU]],tblProducts[SKU],0)),"")</f>
        <v/>
      </c>
      <c r="H139" s="6" t="str">
        <f>IF(OR(tblInventory[[#This Row],[數量]]="",tblInventory[[#This Row],[單位成本]]=""),"",tblInventory[[#This Row],[數量]]*tblInventory[[#This Row],[單位成本]])</f>
        <v/>
      </c>
    </row>
    <row r="140" spans="4:8" ht="19.95" customHeight="1">
      <c r="D140" t="str">
        <f>IFERROR(INDEX(tblProducts[正式名稱],MATCH(tblInventory[[#This Row],[SKU]],tblProducts[SKU],0)),"")</f>
        <v/>
      </c>
      <c r="G140" s="6" t="str">
        <f>IFERROR(INDEX(tblProducts[單位成本],MATCH(tblInventory[[#This Row],[SKU]],tblProducts[SKU],0)),"")</f>
        <v/>
      </c>
      <c r="H140" s="6" t="str">
        <f>IF(OR(tblInventory[[#This Row],[數量]]="",tblInventory[[#This Row],[單位成本]]=""),"",tblInventory[[#This Row],[數量]]*tblInventory[[#This Row],[單位成本]])</f>
        <v/>
      </c>
    </row>
    <row r="141" spans="4:8" ht="19.95" customHeight="1">
      <c r="D141" t="str">
        <f>IFERROR(INDEX(tblProducts[正式名稱],MATCH(tblInventory[[#This Row],[SKU]],tblProducts[SKU],0)),"")</f>
        <v/>
      </c>
      <c r="G141" s="6" t="str">
        <f>IFERROR(INDEX(tblProducts[單位成本],MATCH(tblInventory[[#This Row],[SKU]],tblProducts[SKU],0)),"")</f>
        <v/>
      </c>
      <c r="H141" s="6" t="str">
        <f>IF(OR(tblInventory[[#This Row],[數量]]="",tblInventory[[#This Row],[單位成本]]=""),"",tblInventory[[#This Row],[數量]]*tblInventory[[#This Row],[單位成本]])</f>
        <v/>
      </c>
    </row>
    <row r="142" spans="4:8" ht="19.95" customHeight="1">
      <c r="D142" t="str">
        <f>IFERROR(INDEX(tblProducts[正式名稱],MATCH(tblInventory[[#This Row],[SKU]],tblProducts[SKU],0)),"")</f>
        <v/>
      </c>
      <c r="G142" s="6" t="str">
        <f>IFERROR(INDEX(tblProducts[單位成本],MATCH(tblInventory[[#This Row],[SKU]],tblProducts[SKU],0)),"")</f>
        <v/>
      </c>
      <c r="H142" s="6" t="str">
        <f>IF(OR(tblInventory[[#This Row],[數量]]="",tblInventory[[#This Row],[單位成本]]=""),"",tblInventory[[#This Row],[數量]]*tblInventory[[#This Row],[單位成本]])</f>
        <v/>
      </c>
    </row>
    <row r="143" spans="4:8" ht="19.95" customHeight="1">
      <c r="D143" t="str">
        <f>IFERROR(INDEX(tblProducts[正式名稱],MATCH(tblInventory[[#This Row],[SKU]],tblProducts[SKU],0)),"")</f>
        <v/>
      </c>
      <c r="G143" s="6" t="str">
        <f>IFERROR(INDEX(tblProducts[單位成本],MATCH(tblInventory[[#This Row],[SKU]],tblProducts[SKU],0)),"")</f>
        <v/>
      </c>
      <c r="H143" s="6" t="str">
        <f>IF(OR(tblInventory[[#This Row],[數量]]="",tblInventory[[#This Row],[單位成本]]=""),"",tblInventory[[#This Row],[數量]]*tblInventory[[#This Row],[單位成本]])</f>
        <v/>
      </c>
    </row>
    <row r="144" spans="4:8" ht="19.95" customHeight="1">
      <c r="D144" t="str">
        <f>IFERROR(INDEX(tblProducts[正式名稱],MATCH(tblInventory[[#This Row],[SKU]],tblProducts[SKU],0)),"")</f>
        <v/>
      </c>
      <c r="G144" s="6" t="str">
        <f>IFERROR(INDEX(tblProducts[單位成本],MATCH(tblInventory[[#This Row],[SKU]],tblProducts[SKU],0)),"")</f>
        <v/>
      </c>
      <c r="H144" s="6" t="str">
        <f>IF(OR(tblInventory[[#This Row],[數量]]="",tblInventory[[#This Row],[單位成本]]=""),"",tblInventory[[#This Row],[數量]]*tblInventory[[#This Row],[單位成本]])</f>
        <v/>
      </c>
    </row>
    <row r="145" spans="4:8" ht="19.95" customHeight="1">
      <c r="D145" t="str">
        <f>IFERROR(INDEX(tblProducts[正式名稱],MATCH(tblInventory[[#This Row],[SKU]],tblProducts[SKU],0)),"")</f>
        <v/>
      </c>
      <c r="G145" s="6" t="str">
        <f>IFERROR(INDEX(tblProducts[單位成本],MATCH(tblInventory[[#This Row],[SKU]],tblProducts[SKU],0)),"")</f>
        <v/>
      </c>
      <c r="H145" s="6" t="str">
        <f>IF(OR(tblInventory[[#This Row],[數量]]="",tblInventory[[#This Row],[單位成本]]=""),"",tblInventory[[#This Row],[數量]]*tblInventory[[#This Row],[單位成本]])</f>
        <v/>
      </c>
    </row>
    <row r="146" spans="4:8" ht="19.95" customHeight="1">
      <c r="D146" t="str">
        <f>IFERROR(INDEX(tblProducts[正式名稱],MATCH(tblInventory[[#This Row],[SKU]],tblProducts[SKU],0)),"")</f>
        <v/>
      </c>
      <c r="G146" s="6" t="str">
        <f>IFERROR(INDEX(tblProducts[單位成本],MATCH(tblInventory[[#This Row],[SKU]],tblProducts[SKU],0)),"")</f>
        <v/>
      </c>
      <c r="H146" s="6" t="str">
        <f>IF(OR(tblInventory[[#This Row],[數量]]="",tblInventory[[#This Row],[單位成本]]=""),"",tblInventory[[#This Row],[數量]]*tblInventory[[#This Row],[單位成本]])</f>
        <v/>
      </c>
    </row>
    <row r="147" spans="4:8" ht="19.95" customHeight="1">
      <c r="D147" t="str">
        <f>IFERROR(INDEX(tblProducts[正式名稱],MATCH(tblInventory[[#This Row],[SKU]],tblProducts[SKU],0)),"")</f>
        <v/>
      </c>
      <c r="G147" s="6" t="str">
        <f>IFERROR(INDEX(tblProducts[單位成本],MATCH(tblInventory[[#This Row],[SKU]],tblProducts[SKU],0)),"")</f>
        <v/>
      </c>
      <c r="H147" s="6" t="str">
        <f>IF(OR(tblInventory[[#This Row],[數量]]="",tblInventory[[#This Row],[單位成本]]=""),"",tblInventory[[#This Row],[數量]]*tblInventory[[#This Row],[單位成本]])</f>
        <v/>
      </c>
    </row>
    <row r="148" spans="4:8" ht="19.95" customHeight="1">
      <c r="D148" t="str">
        <f>IFERROR(INDEX(tblProducts[正式名稱],MATCH(tblInventory[[#This Row],[SKU]],tblProducts[SKU],0)),"")</f>
        <v/>
      </c>
      <c r="G148" s="6" t="str">
        <f>IFERROR(INDEX(tblProducts[單位成本],MATCH(tblInventory[[#This Row],[SKU]],tblProducts[SKU],0)),"")</f>
        <v/>
      </c>
      <c r="H148" s="6" t="str">
        <f>IF(OR(tblInventory[[#This Row],[數量]]="",tblInventory[[#This Row],[單位成本]]=""),"",tblInventory[[#This Row],[數量]]*tblInventory[[#This Row],[單位成本]])</f>
        <v/>
      </c>
    </row>
    <row r="149" spans="4:8" ht="19.95" customHeight="1">
      <c r="D149" t="str">
        <f>IFERROR(INDEX(tblProducts[正式名稱],MATCH(tblInventory[[#This Row],[SKU]],tblProducts[SKU],0)),"")</f>
        <v/>
      </c>
      <c r="G149" s="6" t="str">
        <f>IFERROR(INDEX(tblProducts[單位成本],MATCH(tblInventory[[#This Row],[SKU]],tblProducts[SKU],0)),"")</f>
        <v/>
      </c>
      <c r="H149" s="6" t="str">
        <f>IF(OR(tblInventory[[#This Row],[數量]]="",tblInventory[[#This Row],[單位成本]]=""),"",tblInventory[[#This Row],[數量]]*tblInventory[[#This Row],[單位成本]])</f>
        <v/>
      </c>
    </row>
    <row r="150" spans="4:8" ht="19.95" customHeight="1">
      <c r="D150" t="str">
        <f>IFERROR(INDEX(tblProducts[正式名稱],MATCH(tblInventory[[#This Row],[SKU]],tblProducts[SKU],0)),"")</f>
        <v/>
      </c>
      <c r="G150" s="6" t="str">
        <f>IFERROR(INDEX(tblProducts[單位成本],MATCH(tblInventory[[#This Row],[SKU]],tblProducts[SKU],0)),"")</f>
        <v/>
      </c>
      <c r="H150" s="6" t="str">
        <f>IF(OR(tblInventory[[#This Row],[數量]]="",tblInventory[[#This Row],[單位成本]]=""),"",tblInventory[[#This Row],[數量]]*tblInventory[[#This Row],[單位成本]])</f>
        <v/>
      </c>
    </row>
    <row r="151" spans="4:8" ht="19.95" customHeight="1">
      <c r="D151" t="str">
        <f>IFERROR(INDEX(tblProducts[正式名稱],MATCH(tblInventory[[#This Row],[SKU]],tblProducts[SKU],0)),"")</f>
        <v/>
      </c>
      <c r="G151" s="6" t="str">
        <f>IFERROR(INDEX(tblProducts[單位成本],MATCH(tblInventory[[#This Row],[SKU]],tblProducts[SKU],0)),"")</f>
        <v/>
      </c>
      <c r="H151" s="6" t="str">
        <f>IF(OR(tblInventory[[#This Row],[數量]]="",tblInventory[[#This Row],[單位成本]]=""),"",tblInventory[[#This Row],[數量]]*tblInventory[[#This Row],[單位成本]])</f>
        <v/>
      </c>
    </row>
    <row r="152" spans="4:8" ht="19.95" customHeight="1">
      <c r="D152" t="str">
        <f>IFERROR(INDEX(tblProducts[正式名稱],MATCH(tblInventory[[#This Row],[SKU]],tblProducts[SKU],0)),"")</f>
        <v/>
      </c>
      <c r="G152" s="6" t="str">
        <f>IFERROR(INDEX(tblProducts[單位成本],MATCH(tblInventory[[#This Row],[SKU]],tblProducts[SKU],0)),"")</f>
        <v/>
      </c>
      <c r="H152" s="6" t="str">
        <f>IF(OR(tblInventory[[#This Row],[數量]]="",tblInventory[[#This Row],[單位成本]]=""),"",tblInventory[[#This Row],[數量]]*tblInventory[[#This Row],[單位成本]])</f>
        <v/>
      </c>
    </row>
    <row r="153" spans="4:8" ht="19.95" customHeight="1">
      <c r="D153" t="str">
        <f>IFERROR(INDEX(tblProducts[正式名稱],MATCH(tblInventory[[#This Row],[SKU]],tblProducts[SKU],0)),"")</f>
        <v/>
      </c>
      <c r="G153" s="6" t="str">
        <f>IFERROR(INDEX(tblProducts[單位成本],MATCH(tblInventory[[#This Row],[SKU]],tblProducts[SKU],0)),"")</f>
        <v/>
      </c>
      <c r="H153" s="6" t="str">
        <f>IF(OR(tblInventory[[#This Row],[數量]]="",tblInventory[[#This Row],[單位成本]]=""),"",tblInventory[[#This Row],[數量]]*tblInventory[[#This Row],[單位成本]])</f>
        <v/>
      </c>
    </row>
    <row r="154" spans="4:8" ht="19.95" customHeight="1">
      <c r="D154" t="str">
        <f>IFERROR(INDEX(tblProducts[正式名稱],MATCH(tblInventory[[#This Row],[SKU]],tblProducts[SKU],0)),"")</f>
        <v/>
      </c>
      <c r="G154" s="6" t="str">
        <f>IFERROR(INDEX(tblProducts[單位成本],MATCH(tblInventory[[#This Row],[SKU]],tblProducts[SKU],0)),"")</f>
        <v/>
      </c>
      <c r="H154" s="6" t="str">
        <f>IF(OR(tblInventory[[#This Row],[數量]]="",tblInventory[[#This Row],[單位成本]]=""),"",tblInventory[[#This Row],[數量]]*tblInventory[[#This Row],[單位成本]])</f>
        <v/>
      </c>
    </row>
    <row r="155" spans="4:8" ht="19.95" customHeight="1">
      <c r="D155" t="str">
        <f>IFERROR(INDEX(tblProducts[正式名稱],MATCH(tblInventory[[#This Row],[SKU]],tblProducts[SKU],0)),"")</f>
        <v/>
      </c>
      <c r="G155" s="6" t="str">
        <f>IFERROR(INDEX(tblProducts[單位成本],MATCH(tblInventory[[#This Row],[SKU]],tblProducts[SKU],0)),"")</f>
        <v/>
      </c>
      <c r="H155" s="6" t="str">
        <f>IF(OR(tblInventory[[#This Row],[數量]]="",tblInventory[[#This Row],[單位成本]]=""),"",tblInventory[[#This Row],[數量]]*tblInventory[[#This Row],[單位成本]])</f>
        <v/>
      </c>
    </row>
    <row r="156" spans="4:8" ht="19.95" customHeight="1">
      <c r="D156" t="str">
        <f>IFERROR(INDEX(tblProducts[正式名稱],MATCH(tblInventory[[#This Row],[SKU]],tblProducts[SKU],0)),"")</f>
        <v/>
      </c>
      <c r="G156" s="6" t="str">
        <f>IFERROR(INDEX(tblProducts[單位成本],MATCH(tblInventory[[#This Row],[SKU]],tblProducts[SKU],0)),"")</f>
        <v/>
      </c>
      <c r="H156" s="6" t="str">
        <f>IF(OR(tblInventory[[#This Row],[數量]]="",tblInventory[[#This Row],[單位成本]]=""),"",tblInventory[[#This Row],[數量]]*tblInventory[[#This Row],[單位成本]])</f>
        <v/>
      </c>
    </row>
    <row r="157" spans="4:8" ht="19.95" customHeight="1">
      <c r="D157" t="str">
        <f>IFERROR(INDEX(tblProducts[正式名稱],MATCH(tblInventory[[#This Row],[SKU]],tblProducts[SKU],0)),"")</f>
        <v/>
      </c>
      <c r="G157" s="6" t="str">
        <f>IFERROR(INDEX(tblProducts[單位成本],MATCH(tblInventory[[#This Row],[SKU]],tblProducts[SKU],0)),"")</f>
        <v/>
      </c>
      <c r="H157" s="6" t="str">
        <f>IF(OR(tblInventory[[#This Row],[數量]]="",tblInventory[[#This Row],[單位成本]]=""),"",tblInventory[[#This Row],[數量]]*tblInventory[[#This Row],[單位成本]])</f>
        <v/>
      </c>
    </row>
    <row r="158" spans="4:8" ht="19.95" customHeight="1">
      <c r="D158" t="str">
        <f>IFERROR(INDEX(tblProducts[正式名稱],MATCH(tblInventory[[#This Row],[SKU]],tblProducts[SKU],0)),"")</f>
        <v/>
      </c>
      <c r="G158" s="6" t="str">
        <f>IFERROR(INDEX(tblProducts[單位成本],MATCH(tblInventory[[#This Row],[SKU]],tblProducts[SKU],0)),"")</f>
        <v/>
      </c>
      <c r="H158" s="6" t="str">
        <f>IF(OR(tblInventory[[#This Row],[數量]]="",tblInventory[[#This Row],[單位成本]]=""),"",tblInventory[[#This Row],[數量]]*tblInventory[[#This Row],[單位成本]])</f>
        <v/>
      </c>
    </row>
    <row r="159" spans="4:8" ht="19.95" customHeight="1">
      <c r="D159" t="str">
        <f>IFERROR(INDEX(tblProducts[正式名稱],MATCH(tblInventory[[#This Row],[SKU]],tblProducts[SKU],0)),"")</f>
        <v/>
      </c>
      <c r="G159" s="6" t="str">
        <f>IFERROR(INDEX(tblProducts[單位成本],MATCH(tblInventory[[#This Row],[SKU]],tblProducts[SKU],0)),"")</f>
        <v/>
      </c>
      <c r="H159" s="6" t="str">
        <f>IF(OR(tblInventory[[#This Row],[數量]]="",tblInventory[[#This Row],[單位成本]]=""),"",tblInventory[[#This Row],[數量]]*tblInventory[[#This Row],[單位成本]])</f>
        <v/>
      </c>
    </row>
    <row r="160" spans="4:8" ht="19.95" customHeight="1">
      <c r="D160" t="str">
        <f>IFERROR(INDEX(tblProducts[正式名稱],MATCH(tblInventory[[#This Row],[SKU]],tblProducts[SKU],0)),"")</f>
        <v/>
      </c>
      <c r="G160" s="6" t="str">
        <f>IFERROR(INDEX(tblProducts[單位成本],MATCH(tblInventory[[#This Row],[SKU]],tblProducts[SKU],0)),"")</f>
        <v/>
      </c>
      <c r="H160" s="6" t="str">
        <f>IF(OR(tblInventory[[#This Row],[數量]]="",tblInventory[[#This Row],[單位成本]]=""),"",tblInventory[[#This Row],[數量]]*tblInventory[[#This Row],[單位成本]])</f>
        <v/>
      </c>
    </row>
    <row r="161" spans="4:8" ht="19.95" customHeight="1">
      <c r="D161" t="str">
        <f>IFERROR(INDEX(tblProducts[正式名稱],MATCH(tblInventory[[#This Row],[SKU]],tblProducts[SKU],0)),"")</f>
        <v/>
      </c>
      <c r="G161" s="6" t="str">
        <f>IFERROR(INDEX(tblProducts[單位成本],MATCH(tblInventory[[#This Row],[SKU]],tblProducts[SKU],0)),"")</f>
        <v/>
      </c>
      <c r="H161" s="6" t="str">
        <f>IF(OR(tblInventory[[#This Row],[數量]]="",tblInventory[[#This Row],[單位成本]]=""),"",tblInventory[[#This Row],[數量]]*tblInventory[[#This Row],[單位成本]])</f>
        <v/>
      </c>
    </row>
    <row r="162" spans="4:8" ht="19.95" customHeight="1">
      <c r="D162" t="str">
        <f>IFERROR(INDEX(tblProducts[正式名稱],MATCH(tblInventory[[#This Row],[SKU]],tblProducts[SKU],0)),"")</f>
        <v/>
      </c>
      <c r="G162" s="6" t="str">
        <f>IFERROR(INDEX(tblProducts[單位成本],MATCH(tblInventory[[#This Row],[SKU]],tblProducts[SKU],0)),"")</f>
        <v/>
      </c>
      <c r="H162" s="6" t="str">
        <f>IF(OR(tblInventory[[#This Row],[數量]]="",tblInventory[[#This Row],[單位成本]]=""),"",tblInventory[[#This Row],[數量]]*tblInventory[[#This Row],[單位成本]])</f>
        <v/>
      </c>
    </row>
    <row r="163" spans="4:8" ht="19.95" customHeight="1">
      <c r="D163" t="str">
        <f>IFERROR(INDEX(tblProducts[正式名稱],MATCH(tblInventory[[#This Row],[SKU]],tblProducts[SKU],0)),"")</f>
        <v/>
      </c>
      <c r="G163" s="6" t="str">
        <f>IFERROR(INDEX(tblProducts[單位成本],MATCH(tblInventory[[#This Row],[SKU]],tblProducts[SKU],0)),"")</f>
        <v/>
      </c>
      <c r="H163" s="6" t="str">
        <f>IF(OR(tblInventory[[#This Row],[數量]]="",tblInventory[[#This Row],[單位成本]]=""),"",tblInventory[[#This Row],[數量]]*tblInventory[[#This Row],[單位成本]])</f>
        <v/>
      </c>
    </row>
    <row r="164" spans="4:8" ht="19.95" customHeight="1">
      <c r="D164" t="str">
        <f>IFERROR(INDEX(tblProducts[正式名稱],MATCH(tblInventory[[#This Row],[SKU]],tblProducts[SKU],0)),"")</f>
        <v/>
      </c>
      <c r="G164" s="6" t="str">
        <f>IFERROR(INDEX(tblProducts[單位成本],MATCH(tblInventory[[#This Row],[SKU]],tblProducts[SKU],0)),"")</f>
        <v/>
      </c>
      <c r="H164" s="6" t="str">
        <f>IF(OR(tblInventory[[#This Row],[數量]]="",tblInventory[[#This Row],[單位成本]]=""),"",tblInventory[[#This Row],[數量]]*tblInventory[[#This Row],[單位成本]])</f>
        <v/>
      </c>
    </row>
    <row r="165" spans="4:8" ht="19.95" customHeight="1">
      <c r="D165" t="str">
        <f>IFERROR(INDEX(tblProducts[正式名稱],MATCH(tblInventory[[#This Row],[SKU]],tblProducts[SKU],0)),"")</f>
        <v/>
      </c>
      <c r="G165" s="6" t="str">
        <f>IFERROR(INDEX(tblProducts[單位成本],MATCH(tblInventory[[#This Row],[SKU]],tblProducts[SKU],0)),"")</f>
        <v/>
      </c>
      <c r="H165" s="6" t="str">
        <f>IF(OR(tblInventory[[#This Row],[數量]]="",tblInventory[[#This Row],[單位成本]]=""),"",tblInventory[[#This Row],[數量]]*tblInventory[[#This Row],[單位成本]])</f>
        <v/>
      </c>
    </row>
    <row r="166" spans="4:8" ht="19.95" customHeight="1">
      <c r="D166" t="str">
        <f>IFERROR(INDEX(tblProducts[正式名稱],MATCH(tblInventory[[#This Row],[SKU]],tblProducts[SKU],0)),"")</f>
        <v/>
      </c>
      <c r="G166" s="6" t="str">
        <f>IFERROR(INDEX(tblProducts[單位成本],MATCH(tblInventory[[#This Row],[SKU]],tblProducts[SKU],0)),"")</f>
        <v/>
      </c>
      <c r="H166" s="6" t="str">
        <f>IF(OR(tblInventory[[#This Row],[數量]]="",tblInventory[[#This Row],[單位成本]]=""),"",tblInventory[[#This Row],[數量]]*tblInventory[[#This Row],[單位成本]])</f>
        <v/>
      </c>
    </row>
    <row r="167" spans="4:8" ht="19.95" customHeight="1">
      <c r="D167" t="str">
        <f>IFERROR(INDEX(tblProducts[正式名稱],MATCH(tblInventory[[#This Row],[SKU]],tblProducts[SKU],0)),"")</f>
        <v/>
      </c>
      <c r="G167" s="6" t="str">
        <f>IFERROR(INDEX(tblProducts[單位成本],MATCH(tblInventory[[#This Row],[SKU]],tblProducts[SKU],0)),"")</f>
        <v/>
      </c>
      <c r="H167" s="6" t="str">
        <f>IF(OR(tblInventory[[#This Row],[數量]]="",tblInventory[[#This Row],[單位成本]]=""),"",tblInventory[[#This Row],[數量]]*tblInventory[[#This Row],[單位成本]])</f>
        <v/>
      </c>
    </row>
    <row r="168" spans="4:8" ht="19.95" customHeight="1">
      <c r="D168" t="str">
        <f>IFERROR(INDEX(tblProducts[正式名稱],MATCH(tblInventory[[#This Row],[SKU]],tblProducts[SKU],0)),"")</f>
        <v/>
      </c>
      <c r="G168" s="6" t="str">
        <f>IFERROR(INDEX(tblProducts[單位成本],MATCH(tblInventory[[#This Row],[SKU]],tblProducts[SKU],0)),"")</f>
        <v/>
      </c>
      <c r="H168" s="6" t="str">
        <f>IF(OR(tblInventory[[#This Row],[數量]]="",tblInventory[[#This Row],[單位成本]]=""),"",tblInventory[[#This Row],[數量]]*tblInventory[[#This Row],[單位成本]])</f>
        <v/>
      </c>
    </row>
    <row r="169" spans="4:8" ht="19.95" customHeight="1">
      <c r="D169" t="str">
        <f>IFERROR(INDEX(tblProducts[正式名稱],MATCH(tblInventory[[#This Row],[SKU]],tblProducts[SKU],0)),"")</f>
        <v/>
      </c>
      <c r="G169" s="6" t="str">
        <f>IFERROR(INDEX(tblProducts[單位成本],MATCH(tblInventory[[#This Row],[SKU]],tblProducts[SKU],0)),"")</f>
        <v/>
      </c>
      <c r="H169" s="6" t="str">
        <f>IF(OR(tblInventory[[#This Row],[數量]]="",tblInventory[[#This Row],[單位成本]]=""),"",tblInventory[[#This Row],[數量]]*tblInventory[[#This Row],[單位成本]])</f>
        <v/>
      </c>
    </row>
    <row r="170" spans="4:8" ht="19.95" customHeight="1">
      <c r="D170" t="str">
        <f>IFERROR(INDEX(tblProducts[正式名稱],MATCH(tblInventory[[#This Row],[SKU]],tblProducts[SKU],0)),"")</f>
        <v/>
      </c>
      <c r="G170" s="6" t="str">
        <f>IFERROR(INDEX(tblProducts[單位成本],MATCH(tblInventory[[#This Row],[SKU]],tblProducts[SKU],0)),"")</f>
        <v/>
      </c>
      <c r="H170" s="6" t="str">
        <f>IF(OR(tblInventory[[#This Row],[數量]]="",tblInventory[[#This Row],[單位成本]]=""),"",tblInventory[[#This Row],[數量]]*tblInventory[[#This Row],[單位成本]])</f>
        <v/>
      </c>
    </row>
    <row r="171" spans="4:8" ht="19.95" customHeight="1">
      <c r="D171" t="str">
        <f>IFERROR(INDEX(tblProducts[正式名稱],MATCH(tblInventory[[#This Row],[SKU]],tblProducts[SKU],0)),"")</f>
        <v/>
      </c>
      <c r="G171" s="6" t="str">
        <f>IFERROR(INDEX(tblProducts[單位成本],MATCH(tblInventory[[#This Row],[SKU]],tblProducts[SKU],0)),"")</f>
        <v/>
      </c>
      <c r="H171" s="6" t="str">
        <f>IF(OR(tblInventory[[#This Row],[數量]]="",tblInventory[[#This Row],[單位成本]]=""),"",tblInventory[[#This Row],[數量]]*tblInventory[[#This Row],[單位成本]])</f>
        <v/>
      </c>
    </row>
    <row r="172" spans="4:8" ht="19.95" customHeight="1">
      <c r="D172" t="str">
        <f>IFERROR(INDEX(tblProducts[正式名稱],MATCH(tblInventory[[#This Row],[SKU]],tblProducts[SKU],0)),"")</f>
        <v/>
      </c>
      <c r="G172" s="6" t="str">
        <f>IFERROR(INDEX(tblProducts[單位成本],MATCH(tblInventory[[#This Row],[SKU]],tblProducts[SKU],0)),"")</f>
        <v/>
      </c>
      <c r="H172" s="6" t="str">
        <f>IF(OR(tblInventory[[#This Row],[數量]]="",tblInventory[[#This Row],[單位成本]]=""),"",tblInventory[[#This Row],[數量]]*tblInventory[[#This Row],[單位成本]])</f>
        <v/>
      </c>
    </row>
    <row r="173" spans="4:8" ht="19.95" customHeight="1">
      <c r="D173" t="str">
        <f>IFERROR(INDEX(tblProducts[正式名稱],MATCH(tblInventory[[#This Row],[SKU]],tblProducts[SKU],0)),"")</f>
        <v/>
      </c>
      <c r="G173" s="6" t="str">
        <f>IFERROR(INDEX(tblProducts[單位成本],MATCH(tblInventory[[#This Row],[SKU]],tblProducts[SKU],0)),"")</f>
        <v/>
      </c>
      <c r="H173" s="6" t="str">
        <f>IF(OR(tblInventory[[#This Row],[數量]]="",tblInventory[[#This Row],[單位成本]]=""),"",tblInventory[[#This Row],[數量]]*tblInventory[[#This Row],[單位成本]])</f>
        <v/>
      </c>
    </row>
    <row r="174" spans="4:8" ht="19.95" customHeight="1">
      <c r="D174" t="str">
        <f>IFERROR(INDEX(tblProducts[正式名稱],MATCH(tblInventory[[#This Row],[SKU]],tblProducts[SKU],0)),"")</f>
        <v/>
      </c>
      <c r="G174" s="6" t="str">
        <f>IFERROR(INDEX(tblProducts[單位成本],MATCH(tblInventory[[#This Row],[SKU]],tblProducts[SKU],0)),"")</f>
        <v/>
      </c>
      <c r="H174" s="6" t="str">
        <f>IF(OR(tblInventory[[#This Row],[數量]]="",tblInventory[[#This Row],[單位成本]]=""),"",tblInventory[[#This Row],[數量]]*tblInventory[[#This Row],[單位成本]])</f>
        <v/>
      </c>
    </row>
    <row r="175" spans="4:8" ht="19.95" customHeight="1">
      <c r="D175" t="str">
        <f>IFERROR(INDEX(tblProducts[正式名稱],MATCH(tblInventory[[#This Row],[SKU]],tblProducts[SKU],0)),"")</f>
        <v/>
      </c>
      <c r="G175" s="6" t="str">
        <f>IFERROR(INDEX(tblProducts[單位成本],MATCH(tblInventory[[#This Row],[SKU]],tblProducts[SKU],0)),"")</f>
        <v/>
      </c>
      <c r="H175" s="6" t="str">
        <f>IF(OR(tblInventory[[#This Row],[數量]]="",tblInventory[[#This Row],[單位成本]]=""),"",tblInventory[[#This Row],[數量]]*tblInventory[[#This Row],[單位成本]])</f>
        <v/>
      </c>
    </row>
    <row r="176" spans="4:8" ht="19.95" customHeight="1">
      <c r="D176" t="str">
        <f>IFERROR(INDEX(tblProducts[正式名稱],MATCH(tblInventory[[#This Row],[SKU]],tblProducts[SKU],0)),"")</f>
        <v/>
      </c>
      <c r="G176" s="6" t="str">
        <f>IFERROR(INDEX(tblProducts[單位成本],MATCH(tblInventory[[#This Row],[SKU]],tblProducts[SKU],0)),"")</f>
        <v/>
      </c>
      <c r="H176" s="6" t="str">
        <f>IF(OR(tblInventory[[#This Row],[數量]]="",tblInventory[[#This Row],[單位成本]]=""),"",tblInventory[[#This Row],[數量]]*tblInventory[[#This Row],[單位成本]])</f>
        <v/>
      </c>
    </row>
    <row r="177" spans="4:8" ht="19.95" customHeight="1">
      <c r="D177" t="str">
        <f>IFERROR(INDEX(tblProducts[正式名稱],MATCH(tblInventory[[#This Row],[SKU]],tblProducts[SKU],0)),"")</f>
        <v/>
      </c>
      <c r="G177" s="6" t="str">
        <f>IFERROR(INDEX(tblProducts[單位成本],MATCH(tblInventory[[#This Row],[SKU]],tblProducts[SKU],0)),"")</f>
        <v/>
      </c>
      <c r="H177" s="6" t="str">
        <f>IF(OR(tblInventory[[#This Row],[數量]]="",tblInventory[[#This Row],[單位成本]]=""),"",tblInventory[[#This Row],[數量]]*tblInventory[[#This Row],[單位成本]])</f>
        <v/>
      </c>
    </row>
    <row r="178" spans="4:8" ht="19.95" customHeight="1">
      <c r="D178" t="str">
        <f>IFERROR(INDEX(tblProducts[正式名稱],MATCH(tblInventory[[#This Row],[SKU]],tblProducts[SKU],0)),"")</f>
        <v/>
      </c>
      <c r="G178" s="6" t="str">
        <f>IFERROR(INDEX(tblProducts[單位成本],MATCH(tblInventory[[#This Row],[SKU]],tblProducts[SKU],0)),"")</f>
        <v/>
      </c>
      <c r="H178" s="6" t="str">
        <f>IF(OR(tblInventory[[#This Row],[數量]]="",tblInventory[[#This Row],[單位成本]]=""),"",tblInventory[[#This Row],[數量]]*tblInventory[[#This Row],[單位成本]])</f>
        <v/>
      </c>
    </row>
    <row r="179" spans="4:8" ht="19.95" customHeight="1">
      <c r="D179" t="str">
        <f>IFERROR(INDEX(tblProducts[正式名稱],MATCH(tblInventory[[#This Row],[SKU]],tblProducts[SKU],0)),"")</f>
        <v/>
      </c>
      <c r="G179" s="6" t="str">
        <f>IFERROR(INDEX(tblProducts[單位成本],MATCH(tblInventory[[#This Row],[SKU]],tblProducts[SKU],0)),"")</f>
        <v/>
      </c>
      <c r="H179" s="6" t="str">
        <f>IF(OR(tblInventory[[#This Row],[數量]]="",tblInventory[[#This Row],[單位成本]]=""),"",tblInventory[[#This Row],[數量]]*tblInventory[[#This Row],[單位成本]])</f>
        <v/>
      </c>
    </row>
    <row r="180" spans="4:8" ht="19.95" customHeight="1">
      <c r="D180" t="str">
        <f>IFERROR(INDEX(tblProducts[正式名稱],MATCH(tblInventory[[#This Row],[SKU]],tblProducts[SKU],0)),"")</f>
        <v/>
      </c>
      <c r="G180" s="6" t="str">
        <f>IFERROR(INDEX(tblProducts[單位成本],MATCH(tblInventory[[#This Row],[SKU]],tblProducts[SKU],0)),"")</f>
        <v/>
      </c>
      <c r="H180" s="6" t="str">
        <f>IF(OR(tblInventory[[#This Row],[數量]]="",tblInventory[[#This Row],[單位成本]]=""),"",tblInventory[[#This Row],[數量]]*tblInventory[[#This Row],[單位成本]])</f>
        <v/>
      </c>
    </row>
    <row r="181" spans="4:8" ht="19.95" customHeight="1">
      <c r="D181" t="str">
        <f>IFERROR(INDEX(tblProducts[正式名稱],MATCH(tblInventory[[#This Row],[SKU]],tblProducts[SKU],0)),"")</f>
        <v/>
      </c>
      <c r="G181" s="6" t="str">
        <f>IFERROR(INDEX(tblProducts[單位成本],MATCH(tblInventory[[#This Row],[SKU]],tblProducts[SKU],0)),"")</f>
        <v/>
      </c>
      <c r="H181" s="6" t="str">
        <f>IF(OR(tblInventory[[#This Row],[數量]]="",tblInventory[[#This Row],[單位成本]]=""),"",tblInventory[[#This Row],[數量]]*tblInventory[[#This Row],[單位成本]])</f>
        <v/>
      </c>
    </row>
    <row r="182" spans="4:8" ht="19.95" customHeight="1">
      <c r="D182" t="str">
        <f>IFERROR(INDEX(tblProducts[正式名稱],MATCH(tblInventory[[#This Row],[SKU]],tblProducts[SKU],0)),"")</f>
        <v/>
      </c>
      <c r="G182" s="6" t="str">
        <f>IFERROR(INDEX(tblProducts[單位成本],MATCH(tblInventory[[#This Row],[SKU]],tblProducts[SKU],0)),"")</f>
        <v/>
      </c>
      <c r="H182" s="6" t="str">
        <f>IF(OR(tblInventory[[#This Row],[數量]]="",tblInventory[[#This Row],[單位成本]]=""),"",tblInventory[[#This Row],[數量]]*tblInventory[[#This Row],[單位成本]])</f>
        <v/>
      </c>
    </row>
    <row r="183" spans="4:8" ht="19.95" customHeight="1">
      <c r="D183" t="str">
        <f>IFERROR(INDEX(tblProducts[正式名稱],MATCH(tblInventory[[#This Row],[SKU]],tblProducts[SKU],0)),"")</f>
        <v/>
      </c>
      <c r="G183" s="6" t="str">
        <f>IFERROR(INDEX(tblProducts[單位成本],MATCH(tblInventory[[#This Row],[SKU]],tblProducts[SKU],0)),"")</f>
        <v/>
      </c>
      <c r="H183" s="6" t="str">
        <f>IF(OR(tblInventory[[#This Row],[數量]]="",tblInventory[[#This Row],[單位成本]]=""),"",tblInventory[[#This Row],[數量]]*tblInventory[[#This Row],[單位成本]])</f>
        <v/>
      </c>
    </row>
    <row r="184" spans="4:8" ht="19.95" customHeight="1">
      <c r="D184" t="str">
        <f>IFERROR(INDEX(tblProducts[正式名稱],MATCH(tblInventory[[#This Row],[SKU]],tblProducts[SKU],0)),"")</f>
        <v/>
      </c>
      <c r="G184" s="6" t="str">
        <f>IFERROR(INDEX(tblProducts[單位成本],MATCH(tblInventory[[#This Row],[SKU]],tblProducts[SKU],0)),"")</f>
        <v/>
      </c>
      <c r="H184" s="6" t="str">
        <f>IF(OR(tblInventory[[#This Row],[數量]]="",tblInventory[[#This Row],[單位成本]]=""),"",tblInventory[[#This Row],[數量]]*tblInventory[[#This Row],[單位成本]])</f>
        <v/>
      </c>
    </row>
    <row r="185" spans="4:8" ht="19.95" customHeight="1">
      <c r="D185" t="str">
        <f>IFERROR(INDEX(tblProducts[正式名稱],MATCH(tblInventory[[#This Row],[SKU]],tblProducts[SKU],0)),"")</f>
        <v/>
      </c>
      <c r="G185" s="6" t="str">
        <f>IFERROR(INDEX(tblProducts[單位成本],MATCH(tblInventory[[#This Row],[SKU]],tblProducts[SKU],0)),"")</f>
        <v/>
      </c>
      <c r="H185" s="6" t="str">
        <f>IF(OR(tblInventory[[#This Row],[數量]]="",tblInventory[[#This Row],[單位成本]]=""),"",tblInventory[[#This Row],[數量]]*tblInventory[[#This Row],[單位成本]])</f>
        <v/>
      </c>
    </row>
    <row r="186" spans="4:8" ht="19.95" customHeight="1">
      <c r="D186" t="str">
        <f>IFERROR(INDEX(tblProducts[正式名稱],MATCH(tblInventory[[#This Row],[SKU]],tblProducts[SKU],0)),"")</f>
        <v/>
      </c>
      <c r="G186" s="6" t="str">
        <f>IFERROR(INDEX(tblProducts[單位成本],MATCH(tblInventory[[#This Row],[SKU]],tblProducts[SKU],0)),"")</f>
        <v/>
      </c>
      <c r="H186" s="6" t="str">
        <f>IF(OR(tblInventory[[#This Row],[數量]]="",tblInventory[[#This Row],[單位成本]]=""),"",tblInventory[[#This Row],[數量]]*tblInventory[[#This Row],[單位成本]])</f>
        <v/>
      </c>
    </row>
    <row r="187" spans="4:8" ht="19.95" customHeight="1">
      <c r="D187" t="str">
        <f>IFERROR(INDEX(tblProducts[正式名稱],MATCH(tblInventory[[#This Row],[SKU]],tblProducts[SKU],0)),"")</f>
        <v/>
      </c>
      <c r="G187" s="6" t="str">
        <f>IFERROR(INDEX(tblProducts[單位成本],MATCH(tblInventory[[#This Row],[SKU]],tblProducts[SKU],0)),"")</f>
        <v/>
      </c>
      <c r="H187" s="6" t="str">
        <f>IF(OR(tblInventory[[#This Row],[數量]]="",tblInventory[[#This Row],[單位成本]]=""),"",tblInventory[[#This Row],[數量]]*tblInventory[[#This Row],[單位成本]])</f>
        <v/>
      </c>
    </row>
    <row r="188" spans="4:8" ht="19.95" customHeight="1">
      <c r="D188" t="str">
        <f>IFERROR(INDEX(tblProducts[正式名稱],MATCH(tblInventory[[#This Row],[SKU]],tblProducts[SKU],0)),"")</f>
        <v/>
      </c>
      <c r="G188" s="6" t="str">
        <f>IFERROR(INDEX(tblProducts[單位成本],MATCH(tblInventory[[#This Row],[SKU]],tblProducts[SKU],0)),"")</f>
        <v/>
      </c>
      <c r="H188" s="6" t="str">
        <f>IF(OR(tblInventory[[#This Row],[數量]]="",tblInventory[[#This Row],[單位成本]]=""),"",tblInventory[[#This Row],[數量]]*tblInventory[[#This Row],[單位成本]])</f>
        <v/>
      </c>
    </row>
    <row r="189" spans="4:8" ht="19.95" customHeight="1">
      <c r="D189" t="str">
        <f>IFERROR(INDEX(tblProducts[正式名稱],MATCH(tblInventory[[#This Row],[SKU]],tblProducts[SKU],0)),"")</f>
        <v/>
      </c>
      <c r="G189" s="6" t="str">
        <f>IFERROR(INDEX(tblProducts[單位成本],MATCH(tblInventory[[#This Row],[SKU]],tblProducts[SKU],0)),"")</f>
        <v/>
      </c>
      <c r="H189" s="6" t="str">
        <f>IF(OR(tblInventory[[#This Row],[數量]]="",tblInventory[[#This Row],[單位成本]]=""),"",tblInventory[[#This Row],[數量]]*tblInventory[[#This Row],[單位成本]])</f>
        <v/>
      </c>
    </row>
    <row r="190" spans="4:8" ht="19.95" customHeight="1">
      <c r="D190" t="str">
        <f>IFERROR(INDEX(tblProducts[正式名稱],MATCH(tblInventory[[#This Row],[SKU]],tblProducts[SKU],0)),"")</f>
        <v/>
      </c>
      <c r="G190" s="6" t="str">
        <f>IFERROR(INDEX(tblProducts[單位成本],MATCH(tblInventory[[#This Row],[SKU]],tblProducts[SKU],0)),"")</f>
        <v/>
      </c>
      <c r="H190" s="6" t="str">
        <f>IF(OR(tblInventory[[#This Row],[數量]]="",tblInventory[[#This Row],[單位成本]]=""),"",tblInventory[[#This Row],[數量]]*tblInventory[[#This Row],[單位成本]])</f>
        <v/>
      </c>
    </row>
    <row r="191" spans="4:8" ht="19.95" customHeight="1">
      <c r="D191" t="str">
        <f>IFERROR(INDEX(tblProducts[正式名稱],MATCH(tblInventory[[#This Row],[SKU]],tblProducts[SKU],0)),"")</f>
        <v/>
      </c>
      <c r="G191" s="6" t="str">
        <f>IFERROR(INDEX(tblProducts[單位成本],MATCH(tblInventory[[#This Row],[SKU]],tblProducts[SKU],0)),"")</f>
        <v/>
      </c>
      <c r="H191" s="6" t="str">
        <f>IF(OR(tblInventory[[#This Row],[數量]]="",tblInventory[[#This Row],[單位成本]]=""),"",tblInventory[[#This Row],[數量]]*tblInventory[[#This Row],[單位成本]])</f>
        <v/>
      </c>
    </row>
    <row r="192" spans="4:8" ht="19.95" customHeight="1">
      <c r="D192" t="str">
        <f>IFERROR(INDEX(tblProducts[正式名稱],MATCH(tblInventory[[#This Row],[SKU]],tblProducts[SKU],0)),"")</f>
        <v/>
      </c>
      <c r="G192" s="6" t="str">
        <f>IFERROR(INDEX(tblProducts[單位成本],MATCH(tblInventory[[#This Row],[SKU]],tblProducts[SKU],0)),"")</f>
        <v/>
      </c>
      <c r="H192" s="6" t="str">
        <f>IF(OR(tblInventory[[#This Row],[數量]]="",tblInventory[[#This Row],[單位成本]]=""),"",tblInventory[[#This Row],[數量]]*tblInventory[[#This Row],[單位成本]])</f>
        <v/>
      </c>
    </row>
    <row r="193" spans="4:8" ht="19.95" customHeight="1">
      <c r="D193" t="str">
        <f>IFERROR(INDEX(tblProducts[正式名稱],MATCH(tblInventory[[#This Row],[SKU]],tblProducts[SKU],0)),"")</f>
        <v/>
      </c>
      <c r="G193" s="6" t="str">
        <f>IFERROR(INDEX(tblProducts[單位成本],MATCH(tblInventory[[#This Row],[SKU]],tblProducts[SKU],0)),"")</f>
        <v/>
      </c>
      <c r="H193" s="6" t="str">
        <f>IF(OR(tblInventory[[#This Row],[數量]]="",tblInventory[[#This Row],[單位成本]]=""),"",tblInventory[[#This Row],[數量]]*tblInventory[[#This Row],[單位成本]])</f>
        <v/>
      </c>
    </row>
    <row r="194" spans="4:8" ht="19.95" customHeight="1">
      <c r="D194" t="str">
        <f>IFERROR(INDEX(tblProducts[正式名稱],MATCH(tblInventory[[#This Row],[SKU]],tblProducts[SKU],0)),"")</f>
        <v/>
      </c>
      <c r="G194" s="6" t="str">
        <f>IFERROR(INDEX(tblProducts[單位成本],MATCH(tblInventory[[#This Row],[SKU]],tblProducts[SKU],0)),"")</f>
        <v/>
      </c>
      <c r="H194" s="6" t="str">
        <f>IF(OR(tblInventory[[#This Row],[數量]]="",tblInventory[[#This Row],[單位成本]]=""),"",tblInventory[[#This Row],[數量]]*tblInventory[[#This Row],[單位成本]])</f>
        <v/>
      </c>
    </row>
    <row r="195" spans="4:8" ht="19.95" customHeight="1">
      <c r="D195" t="str">
        <f>IFERROR(INDEX(tblProducts[正式名稱],MATCH(tblInventory[[#This Row],[SKU]],tblProducts[SKU],0)),"")</f>
        <v/>
      </c>
      <c r="G195" s="6" t="str">
        <f>IFERROR(INDEX(tblProducts[單位成本],MATCH(tblInventory[[#This Row],[SKU]],tblProducts[SKU],0)),"")</f>
        <v/>
      </c>
      <c r="H195" s="6" t="str">
        <f>IF(OR(tblInventory[[#This Row],[數量]]="",tblInventory[[#This Row],[單位成本]]=""),"",tblInventory[[#This Row],[數量]]*tblInventory[[#This Row],[單位成本]])</f>
        <v/>
      </c>
    </row>
    <row r="196" spans="4:8" ht="19.95" customHeight="1">
      <c r="D196" t="str">
        <f>IFERROR(INDEX(tblProducts[正式名稱],MATCH(tblInventory[[#This Row],[SKU]],tblProducts[SKU],0)),"")</f>
        <v/>
      </c>
      <c r="G196" s="6" t="str">
        <f>IFERROR(INDEX(tblProducts[單位成本],MATCH(tblInventory[[#This Row],[SKU]],tblProducts[SKU],0)),"")</f>
        <v/>
      </c>
      <c r="H196" s="6" t="str">
        <f>IF(OR(tblInventory[[#This Row],[數量]]="",tblInventory[[#This Row],[單位成本]]=""),"",tblInventory[[#This Row],[數量]]*tblInventory[[#This Row],[單位成本]])</f>
        <v/>
      </c>
    </row>
    <row r="197" spans="4:8" ht="19.95" customHeight="1">
      <c r="D197" t="str">
        <f>IFERROR(INDEX(tblProducts[正式名稱],MATCH(tblInventory[[#This Row],[SKU]],tblProducts[SKU],0)),"")</f>
        <v/>
      </c>
      <c r="G197" s="6" t="str">
        <f>IFERROR(INDEX(tblProducts[單位成本],MATCH(tblInventory[[#This Row],[SKU]],tblProducts[SKU],0)),"")</f>
        <v/>
      </c>
      <c r="H197" s="6" t="str">
        <f>IF(OR(tblInventory[[#This Row],[數量]]="",tblInventory[[#This Row],[單位成本]]=""),"",tblInventory[[#This Row],[數量]]*tblInventory[[#This Row],[單位成本]])</f>
        <v/>
      </c>
    </row>
    <row r="198" spans="4:8" ht="19.95" customHeight="1">
      <c r="D198" t="str">
        <f>IFERROR(INDEX(tblProducts[正式名稱],MATCH(tblInventory[[#This Row],[SKU]],tblProducts[SKU],0)),"")</f>
        <v/>
      </c>
      <c r="G198" s="6" t="str">
        <f>IFERROR(INDEX(tblProducts[單位成本],MATCH(tblInventory[[#This Row],[SKU]],tblProducts[SKU],0)),"")</f>
        <v/>
      </c>
      <c r="H198" s="6" t="str">
        <f>IF(OR(tblInventory[[#This Row],[數量]]="",tblInventory[[#This Row],[單位成本]]=""),"",tblInventory[[#This Row],[數量]]*tblInventory[[#This Row],[單位成本]])</f>
        <v/>
      </c>
    </row>
    <row r="199" spans="4:8" ht="19.95" customHeight="1">
      <c r="D199" t="str">
        <f>IFERROR(INDEX(tblProducts[正式名稱],MATCH(tblInventory[[#This Row],[SKU]],tblProducts[SKU],0)),"")</f>
        <v/>
      </c>
      <c r="G199" s="6" t="str">
        <f>IFERROR(INDEX(tblProducts[單位成本],MATCH(tblInventory[[#This Row],[SKU]],tblProducts[SKU],0)),"")</f>
        <v/>
      </c>
      <c r="H199" s="6" t="str">
        <f>IF(OR(tblInventory[[#This Row],[數量]]="",tblInventory[[#This Row],[單位成本]]=""),"",tblInventory[[#This Row],[數量]]*tblInventory[[#This Row],[單位成本]])</f>
        <v/>
      </c>
    </row>
    <row r="200" spans="4:8" ht="19.95" customHeight="1">
      <c r="D200" t="str">
        <f>IFERROR(INDEX(tblProducts[正式名稱],MATCH(tblInventory[[#This Row],[SKU]],tblProducts[SKU],0)),"")</f>
        <v/>
      </c>
      <c r="G200" s="6" t="str">
        <f>IFERROR(INDEX(tblProducts[單位成本],MATCH(tblInventory[[#This Row],[SKU]],tblProducts[SKU],0)),"")</f>
        <v/>
      </c>
      <c r="H200" s="6" t="str">
        <f>IF(OR(tblInventory[[#This Row],[數量]]="",tblInventory[[#This Row],[單位成本]]=""),"",tblInventory[[#This Row],[數量]]*tblInventory[[#This Row],[單位成本]])</f>
        <v/>
      </c>
    </row>
    <row r="201" spans="4:8" ht="19.95" customHeight="1">
      <c r="D201" t="str">
        <f>IFERROR(INDEX(tblProducts[正式名稱],MATCH(tblInventory[[#This Row],[SKU]],tblProducts[SKU],0)),"")</f>
        <v/>
      </c>
      <c r="G201" s="6" t="str">
        <f>IFERROR(INDEX(tblProducts[單位成本],MATCH(tblInventory[[#This Row],[SKU]],tblProducts[SKU],0)),"")</f>
        <v/>
      </c>
      <c r="H201" s="6" t="str">
        <f>IF(OR(tblInventory[[#This Row],[數量]]="",tblInventory[[#This Row],[單位成本]]=""),"",tblInventory[[#This Row],[數量]]*tblInventory[[#This Row],[單位成本]])</f>
        <v/>
      </c>
    </row>
    <row r="202" spans="4:8" ht="19.95" customHeight="1">
      <c r="D202" t="str">
        <f>IFERROR(INDEX(tblProducts[正式名稱],MATCH(tblInventory[[#This Row],[SKU]],tblProducts[SKU],0)),"")</f>
        <v/>
      </c>
      <c r="G202" s="6" t="str">
        <f>IFERROR(INDEX(tblProducts[單位成本],MATCH(tblInventory[[#This Row],[SKU]],tblProducts[SKU],0)),"")</f>
        <v/>
      </c>
      <c r="H202" s="6" t="str">
        <f>IF(OR(tblInventory[[#This Row],[數量]]="",tblInventory[[#This Row],[單位成本]]=""),"",tblInventory[[#This Row],[數量]]*tblInventory[[#This Row],[單位成本]])</f>
        <v/>
      </c>
    </row>
    <row r="203" spans="4:8" ht="19.95" customHeight="1">
      <c r="D203" t="str">
        <f>IFERROR(INDEX(tblProducts[正式名稱],MATCH(tblInventory[[#This Row],[SKU]],tblProducts[SKU],0)),"")</f>
        <v/>
      </c>
      <c r="G203" s="6" t="str">
        <f>IFERROR(INDEX(tblProducts[單位成本],MATCH(tblInventory[[#This Row],[SKU]],tblProducts[SKU],0)),"")</f>
        <v/>
      </c>
      <c r="H203" s="6" t="str">
        <f>IF(OR(tblInventory[[#This Row],[數量]]="",tblInventory[[#This Row],[單位成本]]=""),"",tblInventory[[#This Row],[數量]]*tblInventory[[#This Row],[單位成本]])</f>
        <v/>
      </c>
    </row>
    <row r="204" spans="4:8" ht="19.95" customHeight="1">
      <c r="D204" t="str">
        <f>IFERROR(INDEX(tblProducts[正式名稱],MATCH(tblInventory[[#This Row],[SKU]],tblProducts[SKU],0)),"")</f>
        <v/>
      </c>
      <c r="G204" s="6" t="str">
        <f>IFERROR(INDEX(tblProducts[單位成本],MATCH(tblInventory[[#This Row],[SKU]],tblProducts[SKU],0)),"")</f>
        <v/>
      </c>
      <c r="H204" s="6" t="str">
        <f>IF(OR(tblInventory[[#This Row],[數量]]="",tblInventory[[#This Row],[單位成本]]=""),"",tblInventory[[#This Row],[數量]]*tblInventory[[#This Row],[單位成本]])</f>
        <v/>
      </c>
    </row>
    <row r="205" spans="4:8" ht="19.95" customHeight="1">
      <c r="D205" t="str">
        <f>IFERROR(INDEX(tblProducts[正式名稱],MATCH(tblInventory[[#This Row],[SKU]],tblProducts[SKU],0)),"")</f>
        <v/>
      </c>
      <c r="G205" s="6" t="str">
        <f>IFERROR(INDEX(tblProducts[單位成本],MATCH(tblInventory[[#This Row],[SKU]],tblProducts[SKU],0)),"")</f>
        <v/>
      </c>
      <c r="H205" s="6" t="str">
        <f>IF(OR(tblInventory[[#This Row],[數量]]="",tblInventory[[#This Row],[單位成本]]=""),"",tblInventory[[#This Row],[數量]]*tblInventory[[#This Row],[單位成本]])</f>
        <v/>
      </c>
    </row>
    <row r="206" spans="4:8" ht="19.95" customHeight="1">
      <c r="D206" t="str">
        <f>IFERROR(INDEX(tblProducts[正式名稱],MATCH(tblInventory[[#This Row],[SKU]],tblProducts[SKU],0)),"")</f>
        <v/>
      </c>
      <c r="G206" s="6" t="str">
        <f>IFERROR(INDEX(tblProducts[單位成本],MATCH(tblInventory[[#This Row],[SKU]],tblProducts[SKU],0)),"")</f>
        <v/>
      </c>
      <c r="H206" s="6" t="str">
        <f>IF(OR(tblInventory[[#This Row],[數量]]="",tblInventory[[#This Row],[單位成本]]=""),"",tblInventory[[#This Row],[數量]]*tblInventory[[#This Row],[單位成本]])</f>
        <v/>
      </c>
    </row>
    <row r="207" spans="4:8" ht="19.95" customHeight="1">
      <c r="D207" t="str">
        <f>IFERROR(INDEX(tblProducts[正式名稱],MATCH(tblInventory[[#This Row],[SKU]],tblProducts[SKU],0)),"")</f>
        <v/>
      </c>
      <c r="G207" s="6" t="str">
        <f>IFERROR(INDEX(tblProducts[單位成本],MATCH(tblInventory[[#This Row],[SKU]],tblProducts[SKU],0)),"")</f>
        <v/>
      </c>
      <c r="H207" s="6" t="str">
        <f>IF(OR(tblInventory[[#This Row],[數量]]="",tblInventory[[#This Row],[單位成本]]=""),"",tblInventory[[#This Row],[數量]]*tblInventory[[#This Row],[單位成本]])</f>
        <v/>
      </c>
    </row>
    <row r="208" spans="4:8" ht="19.95" customHeight="1">
      <c r="D208" t="str">
        <f>IFERROR(INDEX(tblProducts[正式名稱],MATCH(tblInventory[[#This Row],[SKU]],tblProducts[SKU],0)),"")</f>
        <v/>
      </c>
      <c r="G208" s="6" t="str">
        <f>IFERROR(INDEX(tblProducts[單位成本],MATCH(tblInventory[[#This Row],[SKU]],tblProducts[SKU],0)),"")</f>
        <v/>
      </c>
      <c r="H208" s="6" t="str">
        <f>IF(OR(tblInventory[[#This Row],[數量]]="",tblInventory[[#This Row],[單位成本]]=""),"",tblInventory[[#This Row],[數量]]*tblInventory[[#This Row],[單位成本]])</f>
        <v/>
      </c>
    </row>
    <row r="209" spans="4:8" ht="19.95" customHeight="1">
      <c r="D209" t="str">
        <f>IFERROR(INDEX(tblProducts[正式名稱],MATCH(tblInventory[[#This Row],[SKU]],tblProducts[SKU],0)),"")</f>
        <v/>
      </c>
      <c r="G209" s="6" t="str">
        <f>IFERROR(INDEX(tblProducts[單位成本],MATCH(tblInventory[[#This Row],[SKU]],tblProducts[SKU],0)),"")</f>
        <v/>
      </c>
      <c r="H209" s="6" t="str">
        <f>IF(OR(tblInventory[[#This Row],[數量]]="",tblInventory[[#This Row],[單位成本]]=""),"",tblInventory[[#This Row],[數量]]*tblInventory[[#This Row],[單位成本]])</f>
        <v/>
      </c>
    </row>
    <row r="210" spans="4:8" ht="19.95" customHeight="1">
      <c r="D210" t="str">
        <f>IFERROR(INDEX(tblProducts[正式名稱],MATCH(tblInventory[[#This Row],[SKU]],tblProducts[SKU],0)),"")</f>
        <v/>
      </c>
      <c r="G210" s="6" t="str">
        <f>IFERROR(INDEX(tblProducts[單位成本],MATCH(tblInventory[[#This Row],[SKU]],tblProducts[SKU],0)),"")</f>
        <v/>
      </c>
      <c r="H210" s="6" t="str">
        <f>IF(OR(tblInventory[[#This Row],[數量]]="",tblInventory[[#This Row],[單位成本]]=""),"",tblInventory[[#This Row],[數量]]*tblInventory[[#This Row],[單位成本]])</f>
        <v/>
      </c>
    </row>
    <row r="211" spans="4:8" ht="19.95" customHeight="1">
      <c r="D211" t="str">
        <f>IFERROR(INDEX(tblProducts[正式名稱],MATCH(tblInventory[[#This Row],[SKU]],tblProducts[SKU],0)),"")</f>
        <v/>
      </c>
      <c r="G211" s="6" t="str">
        <f>IFERROR(INDEX(tblProducts[單位成本],MATCH(tblInventory[[#This Row],[SKU]],tblProducts[SKU],0)),"")</f>
        <v/>
      </c>
      <c r="H211" s="6" t="str">
        <f>IF(OR(tblInventory[[#This Row],[數量]]="",tblInventory[[#This Row],[單位成本]]=""),"",tblInventory[[#This Row],[數量]]*tblInventory[[#This Row],[單位成本]])</f>
        <v/>
      </c>
    </row>
    <row r="212" spans="4:8" ht="19.95" customHeight="1">
      <c r="D212" t="str">
        <f>IFERROR(INDEX(tblProducts[正式名稱],MATCH(tblInventory[[#This Row],[SKU]],tblProducts[SKU],0)),"")</f>
        <v/>
      </c>
      <c r="G212" s="6" t="str">
        <f>IFERROR(INDEX(tblProducts[單位成本],MATCH(tblInventory[[#This Row],[SKU]],tblProducts[SKU],0)),"")</f>
        <v/>
      </c>
      <c r="H212" s="6" t="str">
        <f>IF(OR(tblInventory[[#This Row],[數量]]="",tblInventory[[#This Row],[單位成本]]=""),"",tblInventory[[#This Row],[數量]]*tblInventory[[#This Row],[單位成本]])</f>
        <v/>
      </c>
    </row>
    <row r="213" spans="4:8" ht="19.95" customHeight="1">
      <c r="D213" t="str">
        <f>IFERROR(INDEX(tblProducts[正式名稱],MATCH(tblInventory[[#This Row],[SKU]],tblProducts[SKU],0)),"")</f>
        <v/>
      </c>
      <c r="G213" s="6" t="str">
        <f>IFERROR(INDEX(tblProducts[單位成本],MATCH(tblInventory[[#This Row],[SKU]],tblProducts[SKU],0)),"")</f>
        <v/>
      </c>
      <c r="H213" s="6" t="str">
        <f>IF(OR(tblInventory[[#This Row],[數量]]="",tblInventory[[#This Row],[單位成本]]=""),"",tblInventory[[#This Row],[數量]]*tblInventory[[#This Row],[單位成本]])</f>
        <v/>
      </c>
    </row>
    <row r="214" spans="4:8" ht="19.95" customHeight="1">
      <c r="D214" t="str">
        <f>IFERROR(INDEX(tblProducts[正式名稱],MATCH(tblInventory[[#This Row],[SKU]],tblProducts[SKU],0)),"")</f>
        <v/>
      </c>
      <c r="G214" s="6" t="str">
        <f>IFERROR(INDEX(tblProducts[單位成本],MATCH(tblInventory[[#This Row],[SKU]],tblProducts[SKU],0)),"")</f>
        <v/>
      </c>
      <c r="H214" s="6" t="str">
        <f>IF(OR(tblInventory[[#This Row],[數量]]="",tblInventory[[#This Row],[單位成本]]=""),"",tblInventory[[#This Row],[數量]]*tblInventory[[#This Row],[單位成本]])</f>
        <v/>
      </c>
    </row>
    <row r="215" spans="4:8" ht="19.95" customHeight="1">
      <c r="D215" t="str">
        <f>IFERROR(INDEX(tblProducts[正式名稱],MATCH(tblInventory[[#This Row],[SKU]],tblProducts[SKU],0)),"")</f>
        <v/>
      </c>
      <c r="G215" s="6" t="str">
        <f>IFERROR(INDEX(tblProducts[單位成本],MATCH(tblInventory[[#This Row],[SKU]],tblProducts[SKU],0)),"")</f>
        <v/>
      </c>
      <c r="H215" s="6" t="str">
        <f>IF(OR(tblInventory[[#This Row],[數量]]="",tblInventory[[#This Row],[單位成本]]=""),"",tblInventory[[#This Row],[數量]]*tblInventory[[#This Row],[單位成本]])</f>
        <v/>
      </c>
    </row>
    <row r="216" spans="4:8" ht="19.95" customHeight="1">
      <c r="D216" t="str">
        <f>IFERROR(INDEX(tblProducts[正式名稱],MATCH(tblInventory[[#This Row],[SKU]],tblProducts[SKU],0)),"")</f>
        <v/>
      </c>
      <c r="G216" s="6" t="str">
        <f>IFERROR(INDEX(tblProducts[單位成本],MATCH(tblInventory[[#This Row],[SKU]],tblProducts[SKU],0)),"")</f>
        <v/>
      </c>
      <c r="H216" s="6" t="str">
        <f>IF(OR(tblInventory[[#This Row],[數量]]="",tblInventory[[#This Row],[單位成本]]=""),"",tblInventory[[#This Row],[數量]]*tblInventory[[#This Row],[單位成本]])</f>
        <v/>
      </c>
    </row>
    <row r="217" spans="4:8" ht="19.95" customHeight="1">
      <c r="D217" t="str">
        <f>IFERROR(INDEX(tblProducts[正式名稱],MATCH(tblInventory[[#This Row],[SKU]],tblProducts[SKU],0)),"")</f>
        <v/>
      </c>
      <c r="G217" s="6" t="str">
        <f>IFERROR(INDEX(tblProducts[單位成本],MATCH(tblInventory[[#This Row],[SKU]],tblProducts[SKU],0)),"")</f>
        <v/>
      </c>
      <c r="H217" s="6" t="str">
        <f>IF(OR(tblInventory[[#This Row],[數量]]="",tblInventory[[#This Row],[單位成本]]=""),"",tblInventory[[#This Row],[數量]]*tblInventory[[#This Row],[單位成本]])</f>
        <v/>
      </c>
    </row>
    <row r="218" spans="4:8" ht="19.95" customHeight="1">
      <c r="D218" t="str">
        <f>IFERROR(INDEX(tblProducts[正式名稱],MATCH(tblInventory[[#This Row],[SKU]],tblProducts[SKU],0)),"")</f>
        <v/>
      </c>
      <c r="G218" s="6" t="str">
        <f>IFERROR(INDEX(tblProducts[單位成本],MATCH(tblInventory[[#This Row],[SKU]],tblProducts[SKU],0)),"")</f>
        <v/>
      </c>
      <c r="H218" s="6" t="str">
        <f>IF(OR(tblInventory[[#This Row],[數量]]="",tblInventory[[#This Row],[單位成本]]=""),"",tblInventory[[#This Row],[數量]]*tblInventory[[#This Row],[單位成本]])</f>
        <v/>
      </c>
    </row>
    <row r="219" spans="4:8" ht="19.95" customHeight="1">
      <c r="D219" t="str">
        <f>IFERROR(INDEX(tblProducts[正式名稱],MATCH(tblInventory[[#This Row],[SKU]],tblProducts[SKU],0)),"")</f>
        <v/>
      </c>
      <c r="G219" s="6" t="str">
        <f>IFERROR(INDEX(tblProducts[單位成本],MATCH(tblInventory[[#This Row],[SKU]],tblProducts[SKU],0)),"")</f>
        <v/>
      </c>
      <c r="H219" s="6" t="str">
        <f>IF(OR(tblInventory[[#This Row],[數量]]="",tblInventory[[#This Row],[單位成本]]=""),"",tblInventory[[#This Row],[數量]]*tblInventory[[#This Row],[單位成本]])</f>
        <v/>
      </c>
    </row>
    <row r="220" spans="4:8" ht="19.95" customHeight="1">
      <c r="D220" t="str">
        <f>IFERROR(INDEX(tblProducts[正式名稱],MATCH(tblInventory[[#This Row],[SKU]],tblProducts[SKU],0)),"")</f>
        <v/>
      </c>
      <c r="G220" s="6" t="str">
        <f>IFERROR(INDEX(tblProducts[單位成本],MATCH(tblInventory[[#This Row],[SKU]],tblProducts[SKU],0)),"")</f>
        <v/>
      </c>
      <c r="H220" s="6" t="str">
        <f>IF(OR(tblInventory[[#This Row],[數量]]="",tblInventory[[#This Row],[單位成本]]=""),"",tblInventory[[#This Row],[數量]]*tblInventory[[#This Row],[單位成本]])</f>
        <v/>
      </c>
    </row>
    <row r="221" spans="4:8" ht="19.95" customHeight="1">
      <c r="D221" t="str">
        <f>IFERROR(INDEX(tblProducts[正式名稱],MATCH(tblInventory[[#This Row],[SKU]],tblProducts[SKU],0)),"")</f>
        <v/>
      </c>
      <c r="G221" s="6" t="str">
        <f>IFERROR(INDEX(tblProducts[單位成本],MATCH(tblInventory[[#This Row],[SKU]],tblProducts[SKU],0)),"")</f>
        <v/>
      </c>
      <c r="H221" s="6" t="str">
        <f>IF(OR(tblInventory[[#This Row],[數量]]="",tblInventory[[#This Row],[單位成本]]=""),"",tblInventory[[#This Row],[數量]]*tblInventory[[#This Row],[單位成本]])</f>
        <v/>
      </c>
    </row>
    <row r="222" spans="4:8" ht="19.95" customHeight="1">
      <c r="D222" t="str">
        <f>IFERROR(INDEX(tblProducts[正式名稱],MATCH(tblInventory[[#This Row],[SKU]],tblProducts[SKU],0)),"")</f>
        <v/>
      </c>
      <c r="G222" s="6" t="str">
        <f>IFERROR(INDEX(tblProducts[單位成本],MATCH(tblInventory[[#This Row],[SKU]],tblProducts[SKU],0)),"")</f>
        <v/>
      </c>
      <c r="H222" s="6" t="str">
        <f>IF(OR(tblInventory[[#This Row],[數量]]="",tblInventory[[#This Row],[單位成本]]=""),"",tblInventory[[#This Row],[數量]]*tblInventory[[#This Row],[單位成本]])</f>
        <v/>
      </c>
    </row>
    <row r="223" spans="4:8" ht="19.95" customHeight="1">
      <c r="D223" t="str">
        <f>IFERROR(INDEX(tblProducts[正式名稱],MATCH(tblInventory[[#This Row],[SKU]],tblProducts[SKU],0)),"")</f>
        <v/>
      </c>
      <c r="G223" s="6" t="str">
        <f>IFERROR(INDEX(tblProducts[單位成本],MATCH(tblInventory[[#This Row],[SKU]],tblProducts[SKU],0)),"")</f>
        <v/>
      </c>
      <c r="H223" s="6" t="str">
        <f>IF(OR(tblInventory[[#This Row],[數量]]="",tblInventory[[#This Row],[單位成本]]=""),"",tblInventory[[#This Row],[數量]]*tblInventory[[#This Row],[單位成本]])</f>
        <v/>
      </c>
    </row>
    <row r="224" spans="4:8" ht="19.95" customHeight="1">
      <c r="D224" t="str">
        <f>IFERROR(INDEX(tblProducts[正式名稱],MATCH(tblInventory[[#This Row],[SKU]],tblProducts[SKU],0)),"")</f>
        <v/>
      </c>
      <c r="G224" s="6" t="str">
        <f>IFERROR(INDEX(tblProducts[單位成本],MATCH(tblInventory[[#This Row],[SKU]],tblProducts[SKU],0)),"")</f>
        <v/>
      </c>
      <c r="H224" s="6" t="str">
        <f>IF(OR(tblInventory[[#This Row],[數量]]="",tblInventory[[#This Row],[單位成本]]=""),"",tblInventory[[#This Row],[數量]]*tblInventory[[#This Row],[單位成本]])</f>
        <v/>
      </c>
    </row>
    <row r="225" spans="4:8" ht="19.95" customHeight="1">
      <c r="D225" t="str">
        <f>IFERROR(INDEX(tblProducts[正式名稱],MATCH(tblInventory[[#This Row],[SKU]],tblProducts[SKU],0)),"")</f>
        <v/>
      </c>
      <c r="G225" s="6" t="str">
        <f>IFERROR(INDEX(tblProducts[單位成本],MATCH(tblInventory[[#This Row],[SKU]],tblProducts[SKU],0)),"")</f>
        <v/>
      </c>
      <c r="H225" s="6" t="str">
        <f>IF(OR(tblInventory[[#This Row],[數量]]="",tblInventory[[#This Row],[單位成本]]=""),"",tblInventory[[#This Row],[數量]]*tblInventory[[#This Row],[單位成本]])</f>
        <v/>
      </c>
    </row>
    <row r="226" spans="4:8" ht="19.95" customHeight="1">
      <c r="D226" t="str">
        <f>IFERROR(INDEX(tblProducts[正式名稱],MATCH(tblInventory[[#This Row],[SKU]],tblProducts[SKU],0)),"")</f>
        <v/>
      </c>
      <c r="G226" s="6" t="str">
        <f>IFERROR(INDEX(tblProducts[單位成本],MATCH(tblInventory[[#This Row],[SKU]],tblProducts[SKU],0)),"")</f>
        <v/>
      </c>
      <c r="H226" s="6" t="str">
        <f>IF(OR(tblInventory[[#This Row],[數量]]="",tblInventory[[#This Row],[單位成本]]=""),"",tblInventory[[#This Row],[數量]]*tblInventory[[#This Row],[單位成本]])</f>
        <v/>
      </c>
    </row>
    <row r="227" spans="4:8" ht="19.95" customHeight="1">
      <c r="D227" t="str">
        <f>IFERROR(INDEX(tblProducts[正式名稱],MATCH(tblInventory[[#This Row],[SKU]],tblProducts[SKU],0)),"")</f>
        <v/>
      </c>
      <c r="G227" s="6" t="str">
        <f>IFERROR(INDEX(tblProducts[單位成本],MATCH(tblInventory[[#This Row],[SKU]],tblProducts[SKU],0)),"")</f>
        <v/>
      </c>
      <c r="H227" s="6" t="str">
        <f>IF(OR(tblInventory[[#This Row],[數量]]="",tblInventory[[#This Row],[單位成本]]=""),"",tblInventory[[#This Row],[數量]]*tblInventory[[#This Row],[單位成本]])</f>
        <v/>
      </c>
    </row>
    <row r="228" spans="4:8" ht="19.95" customHeight="1">
      <c r="D228" t="str">
        <f>IFERROR(INDEX(tblProducts[正式名稱],MATCH(tblInventory[[#This Row],[SKU]],tblProducts[SKU],0)),"")</f>
        <v/>
      </c>
      <c r="G228" s="6" t="str">
        <f>IFERROR(INDEX(tblProducts[單位成本],MATCH(tblInventory[[#This Row],[SKU]],tblProducts[SKU],0)),"")</f>
        <v/>
      </c>
      <c r="H228" s="6" t="str">
        <f>IF(OR(tblInventory[[#This Row],[數量]]="",tblInventory[[#This Row],[單位成本]]=""),"",tblInventory[[#This Row],[數量]]*tblInventory[[#This Row],[單位成本]])</f>
        <v/>
      </c>
    </row>
    <row r="229" spans="4:8" ht="19.95" customHeight="1">
      <c r="D229" t="str">
        <f>IFERROR(INDEX(tblProducts[正式名稱],MATCH(tblInventory[[#This Row],[SKU]],tblProducts[SKU],0)),"")</f>
        <v/>
      </c>
      <c r="G229" s="6" t="str">
        <f>IFERROR(INDEX(tblProducts[單位成本],MATCH(tblInventory[[#This Row],[SKU]],tblProducts[SKU],0)),"")</f>
        <v/>
      </c>
      <c r="H229" s="6" t="str">
        <f>IF(OR(tblInventory[[#This Row],[數量]]="",tblInventory[[#This Row],[單位成本]]=""),"",tblInventory[[#This Row],[數量]]*tblInventory[[#This Row],[單位成本]])</f>
        <v/>
      </c>
    </row>
    <row r="230" spans="4:8" ht="19.95" customHeight="1">
      <c r="D230" t="str">
        <f>IFERROR(INDEX(tblProducts[正式名稱],MATCH(tblInventory[[#This Row],[SKU]],tblProducts[SKU],0)),"")</f>
        <v/>
      </c>
      <c r="G230" s="6" t="str">
        <f>IFERROR(INDEX(tblProducts[單位成本],MATCH(tblInventory[[#This Row],[SKU]],tblProducts[SKU],0)),"")</f>
        <v/>
      </c>
      <c r="H230" s="6" t="str">
        <f>IF(OR(tblInventory[[#This Row],[數量]]="",tblInventory[[#This Row],[單位成本]]=""),"",tblInventory[[#This Row],[數量]]*tblInventory[[#This Row],[單位成本]])</f>
        <v/>
      </c>
    </row>
    <row r="231" spans="4:8" ht="19.95" customHeight="1">
      <c r="D231" t="str">
        <f>IFERROR(INDEX(tblProducts[正式名稱],MATCH(tblInventory[[#This Row],[SKU]],tblProducts[SKU],0)),"")</f>
        <v/>
      </c>
      <c r="G231" s="6" t="str">
        <f>IFERROR(INDEX(tblProducts[單位成本],MATCH(tblInventory[[#This Row],[SKU]],tblProducts[SKU],0)),"")</f>
        <v/>
      </c>
      <c r="H231" s="6" t="str">
        <f>IF(OR(tblInventory[[#This Row],[數量]]="",tblInventory[[#This Row],[單位成本]]=""),"",tblInventory[[#This Row],[數量]]*tblInventory[[#This Row],[單位成本]])</f>
        <v/>
      </c>
    </row>
    <row r="232" spans="4:8" ht="19.95" customHeight="1">
      <c r="D232" t="str">
        <f>IFERROR(INDEX(tblProducts[正式名稱],MATCH(tblInventory[[#This Row],[SKU]],tblProducts[SKU],0)),"")</f>
        <v/>
      </c>
      <c r="G232" s="6" t="str">
        <f>IFERROR(INDEX(tblProducts[單位成本],MATCH(tblInventory[[#This Row],[SKU]],tblProducts[SKU],0)),"")</f>
        <v/>
      </c>
      <c r="H232" s="6" t="str">
        <f>IF(OR(tblInventory[[#This Row],[數量]]="",tblInventory[[#This Row],[單位成本]]=""),"",tblInventory[[#This Row],[數量]]*tblInventory[[#This Row],[單位成本]])</f>
        <v/>
      </c>
    </row>
    <row r="233" spans="4:8" ht="19.95" customHeight="1">
      <c r="D233" t="str">
        <f>IFERROR(INDEX(tblProducts[正式名稱],MATCH(tblInventory[[#This Row],[SKU]],tblProducts[SKU],0)),"")</f>
        <v/>
      </c>
      <c r="G233" s="6" t="str">
        <f>IFERROR(INDEX(tblProducts[單位成本],MATCH(tblInventory[[#This Row],[SKU]],tblProducts[SKU],0)),"")</f>
        <v/>
      </c>
      <c r="H233" s="6" t="str">
        <f>IF(OR(tblInventory[[#This Row],[數量]]="",tblInventory[[#This Row],[單位成本]]=""),"",tblInventory[[#This Row],[數量]]*tblInventory[[#This Row],[單位成本]])</f>
        <v/>
      </c>
    </row>
    <row r="234" spans="4:8" ht="19.95" customHeight="1">
      <c r="D234" t="str">
        <f>IFERROR(INDEX(tblProducts[正式名稱],MATCH(tblInventory[[#This Row],[SKU]],tblProducts[SKU],0)),"")</f>
        <v/>
      </c>
      <c r="G234" s="6" t="str">
        <f>IFERROR(INDEX(tblProducts[單位成本],MATCH(tblInventory[[#This Row],[SKU]],tblProducts[SKU],0)),"")</f>
        <v/>
      </c>
      <c r="H234" s="6" t="str">
        <f>IF(OR(tblInventory[[#This Row],[數量]]="",tblInventory[[#This Row],[單位成本]]=""),"",tblInventory[[#This Row],[數量]]*tblInventory[[#This Row],[單位成本]])</f>
        <v/>
      </c>
    </row>
    <row r="235" spans="4:8" ht="19.95" customHeight="1">
      <c r="D235" t="str">
        <f>IFERROR(INDEX(tblProducts[正式名稱],MATCH(tblInventory[[#This Row],[SKU]],tblProducts[SKU],0)),"")</f>
        <v/>
      </c>
      <c r="G235" s="6" t="str">
        <f>IFERROR(INDEX(tblProducts[單位成本],MATCH(tblInventory[[#This Row],[SKU]],tblProducts[SKU],0)),"")</f>
        <v/>
      </c>
      <c r="H235" s="6" t="str">
        <f>IF(OR(tblInventory[[#This Row],[數量]]="",tblInventory[[#This Row],[單位成本]]=""),"",tblInventory[[#This Row],[數量]]*tblInventory[[#This Row],[單位成本]])</f>
        <v/>
      </c>
    </row>
    <row r="236" spans="4:8" ht="19.95" customHeight="1">
      <c r="D236" t="str">
        <f>IFERROR(INDEX(tblProducts[正式名稱],MATCH(tblInventory[[#This Row],[SKU]],tblProducts[SKU],0)),"")</f>
        <v/>
      </c>
      <c r="G236" s="6" t="str">
        <f>IFERROR(INDEX(tblProducts[單位成本],MATCH(tblInventory[[#This Row],[SKU]],tblProducts[SKU],0)),"")</f>
        <v/>
      </c>
      <c r="H236" s="6" t="str">
        <f>IF(OR(tblInventory[[#This Row],[數量]]="",tblInventory[[#This Row],[單位成本]]=""),"",tblInventory[[#This Row],[數量]]*tblInventory[[#This Row],[單位成本]])</f>
        <v/>
      </c>
    </row>
    <row r="237" spans="4:8" ht="19.95" customHeight="1">
      <c r="D237" t="str">
        <f>IFERROR(INDEX(tblProducts[正式名稱],MATCH(tblInventory[[#This Row],[SKU]],tblProducts[SKU],0)),"")</f>
        <v/>
      </c>
      <c r="G237" s="6" t="str">
        <f>IFERROR(INDEX(tblProducts[單位成本],MATCH(tblInventory[[#This Row],[SKU]],tblProducts[SKU],0)),"")</f>
        <v/>
      </c>
      <c r="H237" s="6" t="str">
        <f>IF(OR(tblInventory[[#This Row],[數量]]="",tblInventory[[#This Row],[單位成本]]=""),"",tblInventory[[#This Row],[數量]]*tblInventory[[#This Row],[單位成本]])</f>
        <v/>
      </c>
    </row>
    <row r="238" spans="4:8" ht="19.95" customHeight="1">
      <c r="D238" t="str">
        <f>IFERROR(INDEX(tblProducts[正式名稱],MATCH(tblInventory[[#This Row],[SKU]],tblProducts[SKU],0)),"")</f>
        <v/>
      </c>
      <c r="G238" s="6" t="str">
        <f>IFERROR(INDEX(tblProducts[單位成本],MATCH(tblInventory[[#This Row],[SKU]],tblProducts[SKU],0)),"")</f>
        <v/>
      </c>
      <c r="H238" s="6" t="str">
        <f>IF(OR(tblInventory[[#This Row],[數量]]="",tblInventory[[#This Row],[單位成本]]=""),"",tblInventory[[#This Row],[數量]]*tblInventory[[#This Row],[單位成本]])</f>
        <v/>
      </c>
    </row>
    <row r="239" spans="4:8" ht="19.95" customHeight="1">
      <c r="D239" t="str">
        <f>IFERROR(INDEX(tblProducts[正式名稱],MATCH(tblInventory[[#This Row],[SKU]],tblProducts[SKU],0)),"")</f>
        <v/>
      </c>
      <c r="G239" s="6" t="str">
        <f>IFERROR(INDEX(tblProducts[單位成本],MATCH(tblInventory[[#This Row],[SKU]],tblProducts[SKU],0)),"")</f>
        <v/>
      </c>
      <c r="H239" s="6" t="str">
        <f>IF(OR(tblInventory[[#This Row],[數量]]="",tblInventory[[#This Row],[單位成本]]=""),"",tblInventory[[#This Row],[數量]]*tblInventory[[#This Row],[單位成本]])</f>
        <v/>
      </c>
    </row>
    <row r="240" spans="4:8" ht="19.95" customHeight="1">
      <c r="D240" t="str">
        <f>IFERROR(INDEX(tblProducts[正式名稱],MATCH(tblInventory[[#This Row],[SKU]],tblProducts[SKU],0)),"")</f>
        <v/>
      </c>
      <c r="G240" s="6" t="str">
        <f>IFERROR(INDEX(tblProducts[單位成本],MATCH(tblInventory[[#This Row],[SKU]],tblProducts[SKU],0)),"")</f>
        <v/>
      </c>
      <c r="H240" s="6" t="str">
        <f>IF(OR(tblInventory[[#This Row],[數量]]="",tblInventory[[#This Row],[單位成本]]=""),"",tblInventory[[#This Row],[數量]]*tblInventory[[#This Row],[單位成本]])</f>
        <v/>
      </c>
    </row>
    <row r="241" spans="4:8" ht="19.95" customHeight="1">
      <c r="D241" t="str">
        <f>IFERROR(INDEX(tblProducts[正式名稱],MATCH(tblInventory[[#This Row],[SKU]],tblProducts[SKU],0)),"")</f>
        <v/>
      </c>
      <c r="G241" s="6" t="str">
        <f>IFERROR(INDEX(tblProducts[單位成本],MATCH(tblInventory[[#This Row],[SKU]],tblProducts[SKU],0)),"")</f>
        <v/>
      </c>
      <c r="H241" s="6" t="str">
        <f>IF(OR(tblInventory[[#This Row],[數量]]="",tblInventory[[#This Row],[單位成本]]=""),"",tblInventory[[#This Row],[數量]]*tblInventory[[#This Row],[單位成本]])</f>
        <v/>
      </c>
    </row>
    <row r="242" spans="4:8" ht="19.95" customHeight="1">
      <c r="D242" t="str">
        <f>IFERROR(INDEX(tblProducts[正式名稱],MATCH(tblInventory[[#This Row],[SKU]],tblProducts[SKU],0)),"")</f>
        <v/>
      </c>
      <c r="G242" s="6" t="str">
        <f>IFERROR(INDEX(tblProducts[單位成本],MATCH(tblInventory[[#This Row],[SKU]],tblProducts[SKU],0)),"")</f>
        <v/>
      </c>
      <c r="H242" s="6" t="str">
        <f>IF(OR(tblInventory[[#This Row],[數量]]="",tblInventory[[#This Row],[單位成本]]=""),"",tblInventory[[#This Row],[數量]]*tblInventory[[#This Row],[單位成本]])</f>
        <v/>
      </c>
    </row>
    <row r="243" spans="4:8" ht="19.95" customHeight="1">
      <c r="D243" t="str">
        <f>IFERROR(INDEX(tblProducts[正式名稱],MATCH(tblInventory[[#This Row],[SKU]],tblProducts[SKU],0)),"")</f>
        <v/>
      </c>
      <c r="G243" s="6" t="str">
        <f>IFERROR(INDEX(tblProducts[單位成本],MATCH(tblInventory[[#This Row],[SKU]],tblProducts[SKU],0)),"")</f>
        <v/>
      </c>
      <c r="H243" s="6" t="str">
        <f>IF(OR(tblInventory[[#This Row],[數量]]="",tblInventory[[#This Row],[單位成本]]=""),"",tblInventory[[#This Row],[數量]]*tblInventory[[#This Row],[單位成本]])</f>
        <v/>
      </c>
    </row>
    <row r="244" spans="4:8" ht="19.95" customHeight="1">
      <c r="D244" t="str">
        <f>IFERROR(INDEX(tblProducts[正式名稱],MATCH(tblInventory[[#This Row],[SKU]],tblProducts[SKU],0)),"")</f>
        <v/>
      </c>
      <c r="G244" s="6" t="str">
        <f>IFERROR(INDEX(tblProducts[單位成本],MATCH(tblInventory[[#This Row],[SKU]],tblProducts[SKU],0)),"")</f>
        <v/>
      </c>
      <c r="H244" s="6" t="str">
        <f>IF(OR(tblInventory[[#This Row],[數量]]="",tblInventory[[#This Row],[單位成本]]=""),"",tblInventory[[#This Row],[數量]]*tblInventory[[#This Row],[單位成本]])</f>
        <v/>
      </c>
    </row>
    <row r="245" spans="4:8" ht="19.95" customHeight="1">
      <c r="D245" t="str">
        <f>IFERROR(INDEX(tblProducts[正式名稱],MATCH(tblInventory[[#This Row],[SKU]],tblProducts[SKU],0)),"")</f>
        <v/>
      </c>
      <c r="G245" s="6" t="str">
        <f>IFERROR(INDEX(tblProducts[單位成本],MATCH(tblInventory[[#This Row],[SKU]],tblProducts[SKU],0)),"")</f>
        <v/>
      </c>
      <c r="H245" s="6" t="str">
        <f>IF(OR(tblInventory[[#This Row],[數量]]="",tblInventory[[#This Row],[單位成本]]=""),"",tblInventory[[#This Row],[數量]]*tblInventory[[#This Row],[單位成本]])</f>
        <v/>
      </c>
    </row>
    <row r="246" spans="4:8" ht="19.95" customHeight="1">
      <c r="D246" t="str">
        <f>IFERROR(INDEX(tblProducts[正式名稱],MATCH(tblInventory[[#This Row],[SKU]],tblProducts[SKU],0)),"")</f>
        <v/>
      </c>
      <c r="G246" s="6" t="str">
        <f>IFERROR(INDEX(tblProducts[單位成本],MATCH(tblInventory[[#This Row],[SKU]],tblProducts[SKU],0)),"")</f>
        <v/>
      </c>
      <c r="H246" s="6" t="str">
        <f>IF(OR(tblInventory[[#This Row],[數量]]="",tblInventory[[#This Row],[單位成本]]=""),"",tblInventory[[#This Row],[數量]]*tblInventory[[#This Row],[單位成本]])</f>
        <v/>
      </c>
    </row>
    <row r="247" spans="4:8" ht="19.95" customHeight="1">
      <c r="D247" t="str">
        <f>IFERROR(INDEX(tblProducts[正式名稱],MATCH(tblInventory[[#This Row],[SKU]],tblProducts[SKU],0)),"")</f>
        <v/>
      </c>
      <c r="G247" s="6" t="str">
        <f>IFERROR(INDEX(tblProducts[單位成本],MATCH(tblInventory[[#This Row],[SKU]],tblProducts[SKU],0)),"")</f>
        <v/>
      </c>
      <c r="H247" s="6" t="str">
        <f>IF(OR(tblInventory[[#This Row],[數量]]="",tblInventory[[#This Row],[單位成本]]=""),"",tblInventory[[#This Row],[數量]]*tblInventory[[#This Row],[單位成本]])</f>
        <v/>
      </c>
    </row>
    <row r="248" spans="4:8" ht="19.95" customHeight="1">
      <c r="D248" t="str">
        <f>IFERROR(INDEX(tblProducts[正式名稱],MATCH(tblInventory[[#This Row],[SKU]],tblProducts[SKU],0)),"")</f>
        <v/>
      </c>
      <c r="G248" s="6" t="str">
        <f>IFERROR(INDEX(tblProducts[單位成本],MATCH(tblInventory[[#This Row],[SKU]],tblProducts[SKU],0)),"")</f>
        <v/>
      </c>
      <c r="H248" s="6" t="str">
        <f>IF(OR(tblInventory[[#This Row],[數量]]="",tblInventory[[#This Row],[單位成本]]=""),"",tblInventory[[#This Row],[數量]]*tblInventory[[#This Row],[單位成本]])</f>
        <v/>
      </c>
    </row>
    <row r="249" spans="4:8" ht="19.95" customHeight="1">
      <c r="D249" t="str">
        <f>IFERROR(INDEX(tblProducts[正式名稱],MATCH(tblInventory[[#This Row],[SKU]],tblProducts[SKU],0)),"")</f>
        <v/>
      </c>
      <c r="G249" s="6" t="str">
        <f>IFERROR(INDEX(tblProducts[單位成本],MATCH(tblInventory[[#This Row],[SKU]],tblProducts[SKU],0)),"")</f>
        <v/>
      </c>
      <c r="H249" s="6" t="str">
        <f>IF(OR(tblInventory[[#This Row],[數量]]="",tblInventory[[#This Row],[單位成本]]=""),"",tblInventory[[#This Row],[數量]]*tblInventory[[#This Row],[單位成本]])</f>
        <v/>
      </c>
    </row>
    <row r="250" spans="4:8" ht="19.95" customHeight="1">
      <c r="D250" t="str">
        <f>IFERROR(INDEX(tblProducts[正式名稱],MATCH(tblInventory[[#This Row],[SKU]],tblProducts[SKU],0)),"")</f>
        <v/>
      </c>
      <c r="G250" s="6" t="str">
        <f>IFERROR(INDEX(tblProducts[單位成本],MATCH(tblInventory[[#This Row],[SKU]],tblProducts[SKU],0)),"")</f>
        <v/>
      </c>
      <c r="H250" s="6" t="str">
        <f>IF(OR(tblInventory[[#This Row],[數量]]="",tblInventory[[#This Row],[單位成本]]=""),"",tblInventory[[#This Row],[數量]]*tblInventory[[#This Row],[單位成本]])</f>
        <v/>
      </c>
    </row>
    <row r="251" spans="4:8" ht="19.95" customHeight="1">
      <c r="D251" t="str">
        <f>IFERROR(INDEX(tblProducts[正式名稱],MATCH(tblInventory[[#This Row],[SKU]],tblProducts[SKU],0)),"")</f>
        <v/>
      </c>
      <c r="G251" s="6" t="str">
        <f>IFERROR(INDEX(tblProducts[單位成本],MATCH(tblInventory[[#This Row],[SKU]],tblProducts[SKU],0)),"")</f>
        <v/>
      </c>
      <c r="H251" s="6" t="str">
        <f>IF(OR(tblInventory[[#This Row],[數量]]="",tblInventory[[#This Row],[單位成本]]=""),"",tblInventory[[#This Row],[數量]]*tblInventory[[#This Row],[單位成本]])</f>
        <v/>
      </c>
    </row>
    <row r="252" spans="4:8" ht="19.95" customHeight="1">
      <c r="D252" t="str">
        <f>IFERROR(INDEX(tblProducts[正式名稱],MATCH(tblInventory[[#This Row],[SKU]],tblProducts[SKU],0)),"")</f>
        <v/>
      </c>
      <c r="G252" s="6" t="str">
        <f>IFERROR(INDEX(tblProducts[單位成本],MATCH(tblInventory[[#This Row],[SKU]],tblProducts[SKU],0)),"")</f>
        <v/>
      </c>
      <c r="H252" s="6" t="str">
        <f>IF(OR(tblInventory[[#This Row],[數量]]="",tblInventory[[#This Row],[單位成本]]=""),"",tblInventory[[#This Row],[數量]]*tblInventory[[#This Row],[單位成本]])</f>
        <v/>
      </c>
    </row>
    <row r="253" spans="4:8" ht="19.95" customHeight="1">
      <c r="D253" t="str">
        <f>IFERROR(INDEX(tblProducts[正式名稱],MATCH(tblInventory[[#This Row],[SKU]],tblProducts[SKU],0)),"")</f>
        <v/>
      </c>
      <c r="G253" s="6" t="str">
        <f>IFERROR(INDEX(tblProducts[單位成本],MATCH(tblInventory[[#This Row],[SKU]],tblProducts[SKU],0)),"")</f>
        <v/>
      </c>
      <c r="H253" s="6" t="str">
        <f>IF(OR(tblInventory[[#This Row],[數量]]="",tblInventory[[#This Row],[單位成本]]=""),"",tblInventory[[#This Row],[數量]]*tblInventory[[#This Row],[單位成本]])</f>
        <v/>
      </c>
    </row>
    <row r="254" spans="4:8" ht="19.95" customHeight="1">
      <c r="D254" t="str">
        <f>IFERROR(INDEX(tblProducts[正式名稱],MATCH(tblInventory[[#This Row],[SKU]],tblProducts[SKU],0)),"")</f>
        <v/>
      </c>
      <c r="G254" s="6" t="str">
        <f>IFERROR(INDEX(tblProducts[單位成本],MATCH(tblInventory[[#This Row],[SKU]],tblProducts[SKU],0)),"")</f>
        <v/>
      </c>
      <c r="H254" s="6" t="str">
        <f>IF(OR(tblInventory[[#This Row],[數量]]="",tblInventory[[#This Row],[單位成本]]=""),"",tblInventory[[#This Row],[數量]]*tblInventory[[#This Row],[單位成本]])</f>
        <v/>
      </c>
    </row>
    <row r="255" spans="4:8" ht="19.95" customHeight="1">
      <c r="D255" t="str">
        <f>IFERROR(INDEX(tblProducts[正式名稱],MATCH(tblInventory[[#This Row],[SKU]],tblProducts[SKU],0)),"")</f>
        <v/>
      </c>
      <c r="G255" s="6" t="str">
        <f>IFERROR(INDEX(tblProducts[單位成本],MATCH(tblInventory[[#This Row],[SKU]],tblProducts[SKU],0)),"")</f>
        <v/>
      </c>
      <c r="H255" s="6" t="str">
        <f>IF(OR(tblInventory[[#This Row],[數量]]="",tblInventory[[#This Row],[單位成本]]=""),"",tblInventory[[#This Row],[數量]]*tblInventory[[#This Row],[單位成本]])</f>
        <v/>
      </c>
    </row>
    <row r="256" spans="4:8" ht="19.95" customHeight="1">
      <c r="D256" t="str">
        <f>IFERROR(INDEX(tblProducts[正式名稱],MATCH(tblInventory[[#This Row],[SKU]],tblProducts[SKU],0)),"")</f>
        <v/>
      </c>
      <c r="G256" s="6" t="str">
        <f>IFERROR(INDEX(tblProducts[單位成本],MATCH(tblInventory[[#This Row],[SKU]],tblProducts[SKU],0)),"")</f>
        <v/>
      </c>
      <c r="H256" s="6" t="str">
        <f>IF(OR(tblInventory[[#This Row],[數量]]="",tblInventory[[#This Row],[單位成本]]=""),"",tblInventory[[#This Row],[數量]]*tblInventory[[#This Row],[單位成本]])</f>
        <v/>
      </c>
    </row>
    <row r="257" spans="4:8" ht="19.95" customHeight="1">
      <c r="D257" t="str">
        <f>IFERROR(INDEX(tblProducts[正式名稱],MATCH(tblInventory[[#This Row],[SKU]],tblProducts[SKU],0)),"")</f>
        <v/>
      </c>
      <c r="G257" s="6" t="str">
        <f>IFERROR(INDEX(tblProducts[單位成本],MATCH(tblInventory[[#This Row],[SKU]],tblProducts[SKU],0)),"")</f>
        <v/>
      </c>
      <c r="H257" s="6" t="str">
        <f>IF(OR(tblInventory[[#This Row],[數量]]="",tblInventory[[#This Row],[單位成本]]=""),"",tblInventory[[#This Row],[數量]]*tblInventory[[#This Row],[單位成本]])</f>
        <v/>
      </c>
    </row>
    <row r="258" spans="4:8" ht="19.95" customHeight="1">
      <c r="D258" t="str">
        <f>IFERROR(INDEX(tblProducts[正式名稱],MATCH(tblInventory[[#This Row],[SKU]],tblProducts[SKU],0)),"")</f>
        <v/>
      </c>
      <c r="G258" s="6" t="str">
        <f>IFERROR(INDEX(tblProducts[單位成本],MATCH(tblInventory[[#This Row],[SKU]],tblProducts[SKU],0)),"")</f>
        <v/>
      </c>
      <c r="H258" s="6" t="str">
        <f>IF(OR(tblInventory[[#This Row],[數量]]="",tblInventory[[#This Row],[單位成本]]=""),"",tblInventory[[#This Row],[數量]]*tblInventory[[#This Row],[單位成本]])</f>
        <v/>
      </c>
    </row>
    <row r="259" spans="4:8" ht="19.95" customHeight="1">
      <c r="D259" t="str">
        <f>IFERROR(INDEX(tblProducts[正式名稱],MATCH(tblInventory[[#This Row],[SKU]],tblProducts[SKU],0)),"")</f>
        <v/>
      </c>
      <c r="G259" s="6" t="str">
        <f>IFERROR(INDEX(tblProducts[單位成本],MATCH(tblInventory[[#This Row],[SKU]],tblProducts[SKU],0)),"")</f>
        <v/>
      </c>
      <c r="H259" s="6" t="str">
        <f>IF(OR(tblInventory[[#This Row],[數量]]="",tblInventory[[#This Row],[單位成本]]=""),"",tblInventory[[#This Row],[數量]]*tblInventory[[#This Row],[單位成本]])</f>
        <v/>
      </c>
    </row>
    <row r="260" spans="4:8" ht="19.95" customHeight="1">
      <c r="D260" t="str">
        <f>IFERROR(INDEX(tblProducts[正式名稱],MATCH(tblInventory[[#This Row],[SKU]],tblProducts[SKU],0)),"")</f>
        <v/>
      </c>
      <c r="G260" s="6" t="str">
        <f>IFERROR(INDEX(tblProducts[單位成本],MATCH(tblInventory[[#This Row],[SKU]],tblProducts[SKU],0)),"")</f>
        <v/>
      </c>
      <c r="H260" s="6" t="str">
        <f>IF(OR(tblInventory[[#This Row],[數量]]="",tblInventory[[#This Row],[單位成本]]=""),"",tblInventory[[#This Row],[數量]]*tblInventory[[#This Row],[單位成本]])</f>
        <v/>
      </c>
    </row>
    <row r="261" spans="4:8" ht="19.95" customHeight="1">
      <c r="D261" t="str">
        <f>IFERROR(INDEX(tblProducts[正式名稱],MATCH(tblInventory[[#This Row],[SKU]],tblProducts[SKU],0)),"")</f>
        <v/>
      </c>
      <c r="G261" s="6" t="str">
        <f>IFERROR(INDEX(tblProducts[單位成本],MATCH(tblInventory[[#This Row],[SKU]],tblProducts[SKU],0)),"")</f>
        <v/>
      </c>
      <c r="H261" s="6" t="str">
        <f>IF(OR(tblInventory[[#This Row],[數量]]="",tblInventory[[#This Row],[單位成本]]=""),"",tblInventory[[#This Row],[數量]]*tblInventory[[#This Row],[單位成本]])</f>
        <v/>
      </c>
    </row>
    <row r="262" spans="4:8" ht="19.95" customHeight="1">
      <c r="D262" t="str">
        <f>IFERROR(INDEX(tblProducts[正式名稱],MATCH(tblInventory[[#This Row],[SKU]],tblProducts[SKU],0)),"")</f>
        <v/>
      </c>
      <c r="G262" s="6" t="str">
        <f>IFERROR(INDEX(tblProducts[單位成本],MATCH(tblInventory[[#This Row],[SKU]],tblProducts[SKU],0)),"")</f>
        <v/>
      </c>
      <c r="H262" s="6" t="str">
        <f>IF(OR(tblInventory[[#This Row],[數量]]="",tblInventory[[#This Row],[單位成本]]=""),"",tblInventory[[#This Row],[數量]]*tblInventory[[#This Row],[單位成本]])</f>
        <v/>
      </c>
    </row>
    <row r="263" spans="4:8" ht="19.95" customHeight="1">
      <c r="D263" t="str">
        <f>IFERROR(INDEX(tblProducts[正式名稱],MATCH(tblInventory[[#This Row],[SKU]],tblProducts[SKU],0)),"")</f>
        <v/>
      </c>
      <c r="G263" s="6" t="str">
        <f>IFERROR(INDEX(tblProducts[單位成本],MATCH(tblInventory[[#This Row],[SKU]],tblProducts[SKU],0)),"")</f>
        <v/>
      </c>
      <c r="H263" s="6" t="str">
        <f>IF(OR(tblInventory[[#This Row],[數量]]="",tblInventory[[#This Row],[單位成本]]=""),"",tblInventory[[#This Row],[數量]]*tblInventory[[#This Row],[單位成本]])</f>
        <v/>
      </c>
    </row>
    <row r="264" spans="4:8" ht="19.95" customHeight="1">
      <c r="D264" t="str">
        <f>IFERROR(INDEX(tblProducts[正式名稱],MATCH(tblInventory[[#This Row],[SKU]],tblProducts[SKU],0)),"")</f>
        <v/>
      </c>
      <c r="G264" s="6" t="str">
        <f>IFERROR(INDEX(tblProducts[單位成本],MATCH(tblInventory[[#This Row],[SKU]],tblProducts[SKU],0)),"")</f>
        <v/>
      </c>
      <c r="H264" s="6" t="str">
        <f>IF(OR(tblInventory[[#This Row],[數量]]="",tblInventory[[#This Row],[單位成本]]=""),"",tblInventory[[#This Row],[數量]]*tblInventory[[#This Row],[單位成本]])</f>
        <v/>
      </c>
    </row>
    <row r="265" spans="4:8" ht="19.95" customHeight="1">
      <c r="D265" t="str">
        <f>IFERROR(INDEX(tblProducts[正式名稱],MATCH(tblInventory[[#This Row],[SKU]],tblProducts[SKU],0)),"")</f>
        <v/>
      </c>
      <c r="G265" s="6" t="str">
        <f>IFERROR(INDEX(tblProducts[單位成本],MATCH(tblInventory[[#This Row],[SKU]],tblProducts[SKU],0)),"")</f>
        <v/>
      </c>
      <c r="H265" s="6" t="str">
        <f>IF(OR(tblInventory[[#This Row],[數量]]="",tblInventory[[#This Row],[單位成本]]=""),"",tblInventory[[#This Row],[數量]]*tblInventory[[#This Row],[單位成本]])</f>
        <v/>
      </c>
    </row>
    <row r="266" spans="4:8" ht="19.95" customHeight="1">
      <c r="D266" t="str">
        <f>IFERROR(INDEX(tblProducts[正式名稱],MATCH(tblInventory[[#This Row],[SKU]],tblProducts[SKU],0)),"")</f>
        <v/>
      </c>
      <c r="G266" s="6" t="str">
        <f>IFERROR(INDEX(tblProducts[單位成本],MATCH(tblInventory[[#This Row],[SKU]],tblProducts[SKU],0)),"")</f>
        <v/>
      </c>
      <c r="H266" s="6" t="str">
        <f>IF(OR(tblInventory[[#This Row],[數量]]="",tblInventory[[#This Row],[單位成本]]=""),"",tblInventory[[#This Row],[數量]]*tblInventory[[#This Row],[單位成本]])</f>
        <v/>
      </c>
    </row>
    <row r="267" spans="4:8" ht="19.95" customHeight="1">
      <c r="D267" t="str">
        <f>IFERROR(INDEX(tblProducts[正式名稱],MATCH(tblInventory[[#This Row],[SKU]],tblProducts[SKU],0)),"")</f>
        <v/>
      </c>
      <c r="G267" s="6" t="str">
        <f>IFERROR(INDEX(tblProducts[單位成本],MATCH(tblInventory[[#This Row],[SKU]],tblProducts[SKU],0)),"")</f>
        <v/>
      </c>
      <c r="H267" s="6" t="str">
        <f>IF(OR(tblInventory[[#This Row],[數量]]="",tblInventory[[#This Row],[單位成本]]=""),"",tblInventory[[#This Row],[數量]]*tblInventory[[#This Row],[單位成本]])</f>
        <v/>
      </c>
    </row>
    <row r="268" spans="4:8" ht="19.95" customHeight="1">
      <c r="D268" t="str">
        <f>IFERROR(INDEX(tblProducts[正式名稱],MATCH(tblInventory[[#This Row],[SKU]],tblProducts[SKU],0)),"")</f>
        <v/>
      </c>
      <c r="G268" s="6" t="str">
        <f>IFERROR(INDEX(tblProducts[單位成本],MATCH(tblInventory[[#This Row],[SKU]],tblProducts[SKU],0)),"")</f>
        <v/>
      </c>
      <c r="H268" s="6" t="str">
        <f>IF(OR(tblInventory[[#This Row],[數量]]="",tblInventory[[#This Row],[單位成本]]=""),"",tblInventory[[#This Row],[數量]]*tblInventory[[#This Row],[單位成本]])</f>
        <v/>
      </c>
    </row>
    <row r="269" spans="4:8" ht="19.95" customHeight="1">
      <c r="D269" t="str">
        <f>IFERROR(INDEX(tblProducts[正式名稱],MATCH(tblInventory[[#This Row],[SKU]],tblProducts[SKU],0)),"")</f>
        <v/>
      </c>
      <c r="G269" s="6" t="str">
        <f>IFERROR(INDEX(tblProducts[單位成本],MATCH(tblInventory[[#This Row],[SKU]],tblProducts[SKU],0)),"")</f>
        <v/>
      </c>
      <c r="H269" s="6" t="str">
        <f>IF(OR(tblInventory[[#This Row],[數量]]="",tblInventory[[#This Row],[單位成本]]=""),"",tblInventory[[#This Row],[數量]]*tblInventory[[#This Row],[單位成本]])</f>
        <v/>
      </c>
    </row>
    <row r="270" spans="4:8" ht="19.95" customHeight="1">
      <c r="D270" t="str">
        <f>IFERROR(INDEX(tblProducts[正式名稱],MATCH(tblInventory[[#This Row],[SKU]],tblProducts[SKU],0)),"")</f>
        <v/>
      </c>
      <c r="G270" s="6" t="str">
        <f>IFERROR(INDEX(tblProducts[單位成本],MATCH(tblInventory[[#This Row],[SKU]],tblProducts[SKU],0)),"")</f>
        <v/>
      </c>
      <c r="H270" s="6" t="str">
        <f>IF(OR(tblInventory[[#This Row],[數量]]="",tblInventory[[#This Row],[單位成本]]=""),"",tblInventory[[#This Row],[數量]]*tblInventory[[#This Row],[單位成本]])</f>
        <v/>
      </c>
    </row>
    <row r="271" spans="4:8" ht="19.95" customHeight="1">
      <c r="D271" t="str">
        <f>IFERROR(INDEX(tblProducts[正式名稱],MATCH(tblInventory[[#This Row],[SKU]],tblProducts[SKU],0)),"")</f>
        <v/>
      </c>
      <c r="G271" s="6" t="str">
        <f>IFERROR(INDEX(tblProducts[單位成本],MATCH(tblInventory[[#This Row],[SKU]],tblProducts[SKU],0)),"")</f>
        <v/>
      </c>
      <c r="H271" s="6" t="str">
        <f>IF(OR(tblInventory[[#This Row],[數量]]="",tblInventory[[#This Row],[單位成本]]=""),"",tblInventory[[#This Row],[數量]]*tblInventory[[#This Row],[單位成本]])</f>
        <v/>
      </c>
    </row>
    <row r="272" spans="4:8" ht="19.95" customHeight="1">
      <c r="D272" t="str">
        <f>IFERROR(INDEX(tblProducts[正式名稱],MATCH(tblInventory[[#This Row],[SKU]],tblProducts[SKU],0)),"")</f>
        <v/>
      </c>
      <c r="G272" s="6" t="str">
        <f>IFERROR(INDEX(tblProducts[單位成本],MATCH(tblInventory[[#This Row],[SKU]],tblProducts[SKU],0)),"")</f>
        <v/>
      </c>
      <c r="H272" s="6" t="str">
        <f>IF(OR(tblInventory[[#This Row],[數量]]="",tblInventory[[#This Row],[單位成本]]=""),"",tblInventory[[#This Row],[數量]]*tblInventory[[#This Row],[單位成本]])</f>
        <v/>
      </c>
    </row>
    <row r="273" spans="4:8" ht="19.95" customHeight="1">
      <c r="D273" t="str">
        <f>IFERROR(INDEX(tblProducts[正式名稱],MATCH(tblInventory[[#This Row],[SKU]],tblProducts[SKU],0)),"")</f>
        <v/>
      </c>
      <c r="G273" s="6" t="str">
        <f>IFERROR(INDEX(tblProducts[單位成本],MATCH(tblInventory[[#This Row],[SKU]],tblProducts[SKU],0)),"")</f>
        <v/>
      </c>
      <c r="H273" s="6" t="str">
        <f>IF(OR(tblInventory[[#This Row],[數量]]="",tblInventory[[#This Row],[單位成本]]=""),"",tblInventory[[#This Row],[數量]]*tblInventory[[#This Row],[單位成本]])</f>
        <v/>
      </c>
    </row>
    <row r="274" spans="4:8" ht="19.95" customHeight="1">
      <c r="D274" t="str">
        <f>IFERROR(INDEX(tblProducts[正式名稱],MATCH(tblInventory[[#This Row],[SKU]],tblProducts[SKU],0)),"")</f>
        <v/>
      </c>
      <c r="G274" s="6" t="str">
        <f>IFERROR(INDEX(tblProducts[單位成本],MATCH(tblInventory[[#This Row],[SKU]],tblProducts[SKU],0)),"")</f>
        <v/>
      </c>
      <c r="H274" s="6" t="str">
        <f>IF(OR(tblInventory[[#This Row],[數量]]="",tblInventory[[#This Row],[單位成本]]=""),"",tblInventory[[#This Row],[數量]]*tblInventory[[#This Row],[單位成本]])</f>
        <v/>
      </c>
    </row>
    <row r="275" spans="4:8" ht="19.95" customHeight="1">
      <c r="D275" t="str">
        <f>IFERROR(INDEX(tblProducts[正式名稱],MATCH(tblInventory[[#This Row],[SKU]],tblProducts[SKU],0)),"")</f>
        <v/>
      </c>
      <c r="G275" s="6" t="str">
        <f>IFERROR(INDEX(tblProducts[單位成本],MATCH(tblInventory[[#This Row],[SKU]],tblProducts[SKU],0)),"")</f>
        <v/>
      </c>
      <c r="H275" s="6" t="str">
        <f>IF(OR(tblInventory[[#This Row],[數量]]="",tblInventory[[#This Row],[單位成本]]=""),"",tblInventory[[#This Row],[數量]]*tblInventory[[#This Row],[單位成本]])</f>
        <v/>
      </c>
    </row>
    <row r="276" spans="4:8" ht="19.95" customHeight="1">
      <c r="D276" t="str">
        <f>IFERROR(INDEX(tblProducts[正式名稱],MATCH(tblInventory[[#This Row],[SKU]],tblProducts[SKU],0)),"")</f>
        <v/>
      </c>
      <c r="G276" s="6" t="str">
        <f>IFERROR(INDEX(tblProducts[單位成本],MATCH(tblInventory[[#This Row],[SKU]],tblProducts[SKU],0)),"")</f>
        <v/>
      </c>
      <c r="H276" s="6" t="str">
        <f>IF(OR(tblInventory[[#This Row],[數量]]="",tblInventory[[#This Row],[單位成本]]=""),"",tblInventory[[#This Row],[數量]]*tblInventory[[#This Row],[單位成本]])</f>
        <v/>
      </c>
    </row>
    <row r="277" spans="4:8" ht="19.95" customHeight="1">
      <c r="D277" t="str">
        <f>IFERROR(INDEX(tblProducts[正式名稱],MATCH(tblInventory[[#This Row],[SKU]],tblProducts[SKU],0)),"")</f>
        <v/>
      </c>
      <c r="G277" s="6" t="str">
        <f>IFERROR(INDEX(tblProducts[單位成本],MATCH(tblInventory[[#This Row],[SKU]],tblProducts[SKU],0)),"")</f>
        <v/>
      </c>
      <c r="H277" s="6" t="str">
        <f>IF(OR(tblInventory[[#This Row],[數量]]="",tblInventory[[#This Row],[單位成本]]=""),"",tblInventory[[#This Row],[數量]]*tblInventory[[#This Row],[單位成本]])</f>
        <v/>
      </c>
    </row>
    <row r="278" spans="4:8" ht="19.95" customHeight="1">
      <c r="D278" t="str">
        <f>IFERROR(INDEX(tblProducts[正式名稱],MATCH(tblInventory[[#This Row],[SKU]],tblProducts[SKU],0)),"")</f>
        <v/>
      </c>
      <c r="G278" s="6" t="str">
        <f>IFERROR(INDEX(tblProducts[單位成本],MATCH(tblInventory[[#This Row],[SKU]],tblProducts[SKU],0)),"")</f>
        <v/>
      </c>
      <c r="H278" s="6" t="str">
        <f>IF(OR(tblInventory[[#This Row],[數量]]="",tblInventory[[#This Row],[單位成本]]=""),"",tblInventory[[#This Row],[數量]]*tblInventory[[#This Row],[單位成本]])</f>
        <v/>
      </c>
    </row>
    <row r="279" spans="4:8" ht="19.95" customHeight="1">
      <c r="D279" t="str">
        <f>IFERROR(INDEX(tblProducts[正式名稱],MATCH(tblInventory[[#This Row],[SKU]],tblProducts[SKU],0)),"")</f>
        <v/>
      </c>
      <c r="G279" s="6" t="str">
        <f>IFERROR(INDEX(tblProducts[單位成本],MATCH(tblInventory[[#This Row],[SKU]],tblProducts[SKU],0)),"")</f>
        <v/>
      </c>
      <c r="H279" s="6" t="str">
        <f>IF(OR(tblInventory[[#This Row],[數量]]="",tblInventory[[#This Row],[單位成本]]=""),"",tblInventory[[#This Row],[數量]]*tblInventory[[#This Row],[單位成本]])</f>
        <v/>
      </c>
    </row>
    <row r="280" spans="4:8" ht="19.95" customHeight="1">
      <c r="D280" t="str">
        <f>IFERROR(INDEX(tblProducts[正式名稱],MATCH(tblInventory[[#This Row],[SKU]],tblProducts[SKU],0)),"")</f>
        <v/>
      </c>
      <c r="G280" s="6" t="str">
        <f>IFERROR(INDEX(tblProducts[單位成本],MATCH(tblInventory[[#This Row],[SKU]],tblProducts[SKU],0)),"")</f>
        <v/>
      </c>
      <c r="H280" s="6" t="str">
        <f>IF(OR(tblInventory[[#This Row],[數量]]="",tblInventory[[#This Row],[單位成本]]=""),"",tblInventory[[#This Row],[數量]]*tblInventory[[#This Row],[單位成本]])</f>
        <v/>
      </c>
    </row>
    <row r="281" spans="4:8" ht="19.95" customHeight="1">
      <c r="D281" t="str">
        <f>IFERROR(INDEX(tblProducts[正式名稱],MATCH(tblInventory[[#This Row],[SKU]],tblProducts[SKU],0)),"")</f>
        <v/>
      </c>
      <c r="G281" s="6" t="str">
        <f>IFERROR(INDEX(tblProducts[單位成本],MATCH(tblInventory[[#This Row],[SKU]],tblProducts[SKU],0)),"")</f>
        <v/>
      </c>
      <c r="H281" s="6" t="str">
        <f>IF(OR(tblInventory[[#This Row],[數量]]="",tblInventory[[#This Row],[單位成本]]=""),"",tblInventory[[#This Row],[數量]]*tblInventory[[#This Row],[單位成本]])</f>
        <v/>
      </c>
    </row>
    <row r="282" spans="4:8" ht="19.95" customHeight="1">
      <c r="D282" t="str">
        <f>IFERROR(INDEX(tblProducts[正式名稱],MATCH(tblInventory[[#This Row],[SKU]],tblProducts[SKU],0)),"")</f>
        <v/>
      </c>
      <c r="G282" s="6" t="str">
        <f>IFERROR(INDEX(tblProducts[單位成本],MATCH(tblInventory[[#This Row],[SKU]],tblProducts[SKU],0)),"")</f>
        <v/>
      </c>
      <c r="H282" s="6" t="str">
        <f>IF(OR(tblInventory[[#This Row],[數量]]="",tblInventory[[#This Row],[單位成本]]=""),"",tblInventory[[#This Row],[數量]]*tblInventory[[#This Row],[單位成本]])</f>
        <v/>
      </c>
    </row>
    <row r="283" spans="4:8" ht="19.95" customHeight="1">
      <c r="D283" t="str">
        <f>IFERROR(INDEX(tblProducts[正式名稱],MATCH(tblInventory[[#This Row],[SKU]],tblProducts[SKU],0)),"")</f>
        <v/>
      </c>
      <c r="G283" s="6" t="str">
        <f>IFERROR(INDEX(tblProducts[單位成本],MATCH(tblInventory[[#This Row],[SKU]],tblProducts[SKU],0)),"")</f>
        <v/>
      </c>
      <c r="H283" s="6" t="str">
        <f>IF(OR(tblInventory[[#This Row],[數量]]="",tblInventory[[#This Row],[單位成本]]=""),"",tblInventory[[#This Row],[數量]]*tblInventory[[#This Row],[單位成本]])</f>
        <v/>
      </c>
    </row>
    <row r="284" spans="4:8" ht="19.95" customHeight="1">
      <c r="D284" t="str">
        <f>IFERROR(INDEX(tblProducts[正式名稱],MATCH(tblInventory[[#This Row],[SKU]],tblProducts[SKU],0)),"")</f>
        <v/>
      </c>
      <c r="G284" s="6" t="str">
        <f>IFERROR(INDEX(tblProducts[單位成本],MATCH(tblInventory[[#This Row],[SKU]],tblProducts[SKU],0)),"")</f>
        <v/>
      </c>
      <c r="H284" s="6" t="str">
        <f>IF(OR(tblInventory[[#This Row],[數量]]="",tblInventory[[#This Row],[單位成本]]=""),"",tblInventory[[#This Row],[數量]]*tblInventory[[#This Row],[單位成本]])</f>
        <v/>
      </c>
    </row>
    <row r="285" spans="4:8" ht="19.95" customHeight="1">
      <c r="D285" t="str">
        <f>IFERROR(INDEX(tblProducts[正式名稱],MATCH(tblInventory[[#This Row],[SKU]],tblProducts[SKU],0)),"")</f>
        <v/>
      </c>
      <c r="G285" s="6" t="str">
        <f>IFERROR(INDEX(tblProducts[單位成本],MATCH(tblInventory[[#This Row],[SKU]],tblProducts[SKU],0)),"")</f>
        <v/>
      </c>
      <c r="H285" s="6" t="str">
        <f>IF(OR(tblInventory[[#This Row],[數量]]="",tblInventory[[#This Row],[單位成本]]=""),"",tblInventory[[#This Row],[數量]]*tblInventory[[#This Row],[單位成本]])</f>
        <v/>
      </c>
    </row>
    <row r="286" spans="4:8" ht="19.95" customHeight="1">
      <c r="D286" t="str">
        <f>IFERROR(INDEX(tblProducts[正式名稱],MATCH(tblInventory[[#This Row],[SKU]],tblProducts[SKU],0)),"")</f>
        <v/>
      </c>
      <c r="G286" s="6" t="str">
        <f>IFERROR(INDEX(tblProducts[單位成本],MATCH(tblInventory[[#This Row],[SKU]],tblProducts[SKU],0)),"")</f>
        <v/>
      </c>
      <c r="H286" s="6" t="str">
        <f>IF(OR(tblInventory[[#This Row],[數量]]="",tblInventory[[#This Row],[單位成本]]=""),"",tblInventory[[#This Row],[數量]]*tblInventory[[#This Row],[單位成本]])</f>
        <v/>
      </c>
    </row>
    <row r="287" spans="4:8" ht="19.95" customHeight="1">
      <c r="D287" t="str">
        <f>IFERROR(INDEX(tblProducts[正式名稱],MATCH(tblInventory[[#This Row],[SKU]],tblProducts[SKU],0)),"")</f>
        <v/>
      </c>
      <c r="G287" s="6" t="str">
        <f>IFERROR(INDEX(tblProducts[單位成本],MATCH(tblInventory[[#This Row],[SKU]],tblProducts[SKU],0)),"")</f>
        <v/>
      </c>
      <c r="H287" s="6" t="str">
        <f>IF(OR(tblInventory[[#This Row],[數量]]="",tblInventory[[#This Row],[單位成本]]=""),"",tblInventory[[#This Row],[數量]]*tblInventory[[#This Row],[單位成本]])</f>
        <v/>
      </c>
    </row>
    <row r="288" spans="4:8" ht="19.95" customHeight="1">
      <c r="D288" t="str">
        <f>IFERROR(INDEX(tblProducts[正式名稱],MATCH(tblInventory[[#This Row],[SKU]],tblProducts[SKU],0)),"")</f>
        <v/>
      </c>
      <c r="G288" s="6" t="str">
        <f>IFERROR(INDEX(tblProducts[單位成本],MATCH(tblInventory[[#This Row],[SKU]],tblProducts[SKU],0)),"")</f>
        <v/>
      </c>
      <c r="H288" s="6" t="str">
        <f>IF(OR(tblInventory[[#This Row],[數量]]="",tblInventory[[#This Row],[單位成本]]=""),"",tblInventory[[#This Row],[數量]]*tblInventory[[#This Row],[單位成本]])</f>
        <v/>
      </c>
    </row>
    <row r="289" spans="4:8" ht="19.95" customHeight="1">
      <c r="D289" t="str">
        <f>IFERROR(INDEX(tblProducts[正式名稱],MATCH(tblInventory[[#This Row],[SKU]],tblProducts[SKU],0)),"")</f>
        <v/>
      </c>
      <c r="G289" s="6" t="str">
        <f>IFERROR(INDEX(tblProducts[單位成本],MATCH(tblInventory[[#This Row],[SKU]],tblProducts[SKU],0)),"")</f>
        <v/>
      </c>
      <c r="H289" s="6" t="str">
        <f>IF(OR(tblInventory[[#This Row],[數量]]="",tblInventory[[#This Row],[單位成本]]=""),"",tblInventory[[#This Row],[數量]]*tblInventory[[#This Row],[單位成本]])</f>
        <v/>
      </c>
    </row>
    <row r="290" spans="4:8" ht="19.95" customHeight="1">
      <c r="D290" t="str">
        <f>IFERROR(INDEX(tblProducts[正式名稱],MATCH(tblInventory[[#This Row],[SKU]],tblProducts[SKU],0)),"")</f>
        <v/>
      </c>
      <c r="G290" s="6" t="str">
        <f>IFERROR(INDEX(tblProducts[單位成本],MATCH(tblInventory[[#This Row],[SKU]],tblProducts[SKU],0)),"")</f>
        <v/>
      </c>
      <c r="H290" s="6" t="str">
        <f>IF(OR(tblInventory[[#This Row],[數量]]="",tblInventory[[#This Row],[單位成本]]=""),"",tblInventory[[#This Row],[數量]]*tblInventory[[#This Row],[單位成本]])</f>
        <v/>
      </c>
    </row>
    <row r="291" spans="4:8" ht="19.95" customHeight="1">
      <c r="D291" t="str">
        <f>IFERROR(INDEX(tblProducts[正式名稱],MATCH(tblInventory[[#This Row],[SKU]],tblProducts[SKU],0)),"")</f>
        <v/>
      </c>
      <c r="G291" s="6" t="str">
        <f>IFERROR(INDEX(tblProducts[單位成本],MATCH(tblInventory[[#This Row],[SKU]],tblProducts[SKU],0)),"")</f>
        <v/>
      </c>
      <c r="H291" s="6" t="str">
        <f>IF(OR(tblInventory[[#This Row],[數量]]="",tblInventory[[#This Row],[單位成本]]=""),"",tblInventory[[#This Row],[數量]]*tblInventory[[#This Row],[單位成本]])</f>
        <v/>
      </c>
    </row>
    <row r="292" spans="4:8" ht="19.95" customHeight="1">
      <c r="D292" t="str">
        <f>IFERROR(INDEX(tblProducts[正式名稱],MATCH(tblInventory[[#This Row],[SKU]],tblProducts[SKU],0)),"")</f>
        <v/>
      </c>
      <c r="G292" s="6" t="str">
        <f>IFERROR(INDEX(tblProducts[單位成本],MATCH(tblInventory[[#This Row],[SKU]],tblProducts[SKU],0)),"")</f>
        <v/>
      </c>
      <c r="H292" s="6" t="str">
        <f>IF(OR(tblInventory[[#This Row],[數量]]="",tblInventory[[#This Row],[單位成本]]=""),"",tblInventory[[#This Row],[數量]]*tblInventory[[#This Row],[單位成本]])</f>
        <v/>
      </c>
    </row>
    <row r="293" spans="4:8" ht="19.95" customHeight="1">
      <c r="D293" t="str">
        <f>IFERROR(INDEX(tblProducts[正式名稱],MATCH(tblInventory[[#This Row],[SKU]],tblProducts[SKU],0)),"")</f>
        <v/>
      </c>
      <c r="G293" s="6" t="str">
        <f>IFERROR(INDEX(tblProducts[單位成本],MATCH(tblInventory[[#This Row],[SKU]],tblProducts[SKU],0)),"")</f>
        <v/>
      </c>
      <c r="H293" s="6" t="str">
        <f>IF(OR(tblInventory[[#This Row],[數量]]="",tblInventory[[#This Row],[單位成本]]=""),"",tblInventory[[#This Row],[數量]]*tblInventory[[#This Row],[單位成本]])</f>
        <v/>
      </c>
    </row>
    <row r="294" spans="4:8" ht="19.95" customHeight="1">
      <c r="D294" t="str">
        <f>IFERROR(INDEX(tblProducts[正式名稱],MATCH(tblInventory[[#This Row],[SKU]],tblProducts[SKU],0)),"")</f>
        <v/>
      </c>
      <c r="G294" s="6" t="str">
        <f>IFERROR(INDEX(tblProducts[單位成本],MATCH(tblInventory[[#This Row],[SKU]],tblProducts[SKU],0)),"")</f>
        <v/>
      </c>
      <c r="H294" s="6" t="str">
        <f>IF(OR(tblInventory[[#This Row],[數量]]="",tblInventory[[#This Row],[單位成本]]=""),"",tblInventory[[#This Row],[數量]]*tblInventory[[#This Row],[單位成本]])</f>
        <v/>
      </c>
    </row>
    <row r="295" spans="4:8" ht="19.95" customHeight="1">
      <c r="D295" t="str">
        <f>IFERROR(INDEX(tblProducts[正式名稱],MATCH(tblInventory[[#This Row],[SKU]],tblProducts[SKU],0)),"")</f>
        <v/>
      </c>
      <c r="G295" s="6" t="str">
        <f>IFERROR(INDEX(tblProducts[單位成本],MATCH(tblInventory[[#This Row],[SKU]],tblProducts[SKU],0)),"")</f>
        <v/>
      </c>
      <c r="H295" s="6" t="str">
        <f>IF(OR(tblInventory[[#This Row],[數量]]="",tblInventory[[#This Row],[單位成本]]=""),"",tblInventory[[#This Row],[數量]]*tblInventory[[#This Row],[單位成本]])</f>
        <v/>
      </c>
    </row>
    <row r="296" spans="4:8" ht="19.95" customHeight="1">
      <c r="D296" t="str">
        <f>IFERROR(INDEX(tblProducts[正式名稱],MATCH(tblInventory[[#This Row],[SKU]],tblProducts[SKU],0)),"")</f>
        <v/>
      </c>
      <c r="G296" s="6" t="str">
        <f>IFERROR(INDEX(tblProducts[單位成本],MATCH(tblInventory[[#This Row],[SKU]],tblProducts[SKU],0)),"")</f>
        <v/>
      </c>
      <c r="H296" s="6" t="str">
        <f>IF(OR(tblInventory[[#This Row],[數量]]="",tblInventory[[#This Row],[單位成本]]=""),"",tblInventory[[#This Row],[數量]]*tblInventory[[#This Row],[單位成本]])</f>
        <v/>
      </c>
    </row>
    <row r="297" spans="4:8" ht="19.95" customHeight="1">
      <c r="D297" t="str">
        <f>IFERROR(INDEX(tblProducts[正式名稱],MATCH(tblInventory[[#This Row],[SKU]],tblProducts[SKU],0)),"")</f>
        <v/>
      </c>
      <c r="G297" s="6" t="str">
        <f>IFERROR(INDEX(tblProducts[單位成本],MATCH(tblInventory[[#This Row],[SKU]],tblProducts[SKU],0)),"")</f>
        <v/>
      </c>
      <c r="H297" s="6" t="str">
        <f>IF(OR(tblInventory[[#This Row],[數量]]="",tblInventory[[#This Row],[單位成本]]=""),"",tblInventory[[#This Row],[數量]]*tblInventory[[#This Row],[單位成本]])</f>
        <v/>
      </c>
    </row>
    <row r="298" spans="4:8" ht="19.95" customHeight="1">
      <c r="D298" t="str">
        <f>IFERROR(INDEX(tblProducts[正式名稱],MATCH(tblInventory[[#This Row],[SKU]],tblProducts[SKU],0)),"")</f>
        <v/>
      </c>
      <c r="G298" s="6" t="str">
        <f>IFERROR(INDEX(tblProducts[單位成本],MATCH(tblInventory[[#This Row],[SKU]],tblProducts[SKU],0)),"")</f>
        <v/>
      </c>
      <c r="H298" s="6" t="str">
        <f>IF(OR(tblInventory[[#This Row],[數量]]="",tblInventory[[#This Row],[單位成本]]=""),"",tblInventory[[#This Row],[數量]]*tblInventory[[#This Row],[單位成本]])</f>
        <v/>
      </c>
    </row>
    <row r="299" spans="4:8" ht="19.95" customHeight="1">
      <c r="D299" t="str">
        <f>IFERROR(INDEX(tblProducts[正式名稱],MATCH(tblInventory[[#This Row],[SKU]],tblProducts[SKU],0)),"")</f>
        <v/>
      </c>
      <c r="G299" s="6" t="str">
        <f>IFERROR(INDEX(tblProducts[單位成本],MATCH(tblInventory[[#This Row],[SKU]],tblProducts[SKU],0)),"")</f>
        <v/>
      </c>
      <c r="H299" s="6" t="str">
        <f>IF(OR(tblInventory[[#This Row],[數量]]="",tblInventory[[#This Row],[單位成本]]=""),"",tblInventory[[#This Row],[數量]]*tblInventory[[#This Row],[單位成本]])</f>
        <v/>
      </c>
    </row>
    <row r="300" spans="4:8" ht="19.95" customHeight="1">
      <c r="D300" t="str">
        <f>IFERROR(INDEX(tblProducts[正式名稱],MATCH(tblInventory[[#This Row],[SKU]],tblProducts[SKU],0)),"")</f>
        <v/>
      </c>
      <c r="G300" s="6" t="str">
        <f>IFERROR(INDEX(tblProducts[單位成本],MATCH(tblInventory[[#This Row],[SKU]],tblProducts[SKU],0)),"")</f>
        <v/>
      </c>
      <c r="H300" s="6" t="str">
        <f>IF(OR(tblInventory[[#This Row],[數量]]="",tblInventory[[#This Row],[單位成本]]=""),"",tblInventory[[#This Row],[數量]]*tblInventory[[#This Row],[單位成本]])</f>
        <v/>
      </c>
    </row>
    <row r="301" spans="4:8" ht="19.95" customHeight="1">
      <c r="D301" t="str">
        <f>IFERROR(INDEX(tblProducts[正式名稱],MATCH(tblInventory[[#This Row],[SKU]],tblProducts[SKU],0)),"")</f>
        <v/>
      </c>
      <c r="G301" s="6" t="str">
        <f>IFERROR(INDEX(tblProducts[單位成本],MATCH(tblInventory[[#This Row],[SKU]],tblProducts[SKU],0)),"")</f>
        <v/>
      </c>
      <c r="H301" s="6" t="str">
        <f>IF(OR(tblInventory[[#This Row],[數量]]="",tblInventory[[#This Row],[單位成本]]=""),"",tblInventory[[#This Row],[數量]]*tblInventory[[#This Row],[單位成本]])</f>
        <v/>
      </c>
    </row>
    <row r="302" spans="4:8" ht="19.95" customHeight="1">
      <c r="D302" t="str">
        <f>IFERROR(INDEX(tblProducts[正式名稱],MATCH(tblInventory[[#This Row],[SKU]],tblProducts[SKU],0)),"")</f>
        <v/>
      </c>
      <c r="G302" s="6" t="str">
        <f>IFERROR(INDEX(tblProducts[單位成本],MATCH(tblInventory[[#This Row],[SKU]],tblProducts[SKU],0)),"")</f>
        <v/>
      </c>
      <c r="H302" s="6" t="str">
        <f>IF(OR(tblInventory[[#This Row],[數量]]="",tblInventory[[#This Row],[單位成本]]=""),"",tblInventory[[#This Row],[數量]]*tblInventory[[#This Row],[單位成本]])</f>
        <v/>
      </c>
    </row>
    <row r="303" spans="4:8" ht="19.95" customHeight="1">
      <c r="D303" t="str">
        <f>IFERROR(INDEX(tblProducts[正式名稱],MATCH(tblInventory[[#This Row],[SKU]],tblProducts[SKU],0)),"")</f>
        <v/>
      </c>
      <c r="G303" s="6" t="str">
        <f>IFERROR(INDEX(tblProducts[單位成本],MATCH(tblInventory[[#This Row],[SKU]],tblProducts[SKU],0)),"")</f>
        <v/>
      </c>
      <c r="H303" s="6" t="str">
        <f>IF(OR(tblInventory[[#This Row],[數量]]="",tblInventory[[#This Row],[單位成本]]=""),"",tblInventory[[#This Row],[數量]]*tblInventory[[#This Row],[單位成本]])</f>
        <v/>
      </c>
    </row>
    <row r="304" spans="4:8" ht="19.95" customHeight="1">
      <c r="D304" t="str">
        <f>IFERROR(INDEX(tblProducts[正式名稱],MATCH(tblInventory[[#This Row],[SKU]],tblProducts[SKU],0)),"")</f>
        <v/>
      </c>
      <c r="G304" s="6" t="str">
        <f>IFERROR(INDEX(tblProducts[單位成本],MATCH(tblInventory[[#This Row],[SKU]],tblProducts[SKU],0)),"")</f>
        <v/>
      </c>
      <c r="H304" s="6" t="str">
        <f>IF(OR(tblInventory[[#This Row],[數量]]="",tblInventory[[#This Row],[單位成本]]=""),"",tblInventory[[#This Row],[數量]]*tblInventory[[#This Row],[單位成本]])</f>
        <v/>
      </c>
    </row>
  </sheetData>
  <mergeCells count="2">
    <mergeCell ref="A1:M1"/>
    <mergeCell ref="A2:M2"/>
  </mergeCells>
  <phoneticPr fontId="8" type="noConversion"/>
  <conditionalFormatting sqref="F5:F304">
    <cfRule type="cellIs" dxfId="10" priority="1" operator="lessThanOrEqual">
      <formula>0</formula>
    </cfRule>
  </conditionalFormatting>
  <dataValidations count="3">
    <dataValidation type="list" allowBlank="1" showInputMessage="1" showErrorMessage="1" sqref="C5:C304" xr:uid="{00000000-0002-0000-0500-000000000000}">
      <formula1>SKU_LIST</formula1>
    </dataValidation>
    <dataValidation type="list" allowBlank="1" showInputMessage="1" showErrorMessage="1" sqref="E5:E304" xr:uid="{00000000-0002-0000-0500-000001000000}">
      <formula1>INV_TYPE_LIST</formula1>
    </dataValidation>
    <dataValidation type="list" allowBlank="1" showInputMessage="1" showErrorMessage="1" sqref="K5:K304" xr:uid="{00000000-0002-0000-0500-000002000000}">
      <formula1>OWNER_LIST</formula1>
    </dataValidation>
  </dataValidations>
  <pageMargins left="0.25" right="0.25" top="0.4" bottom="0.4" header="0.3" footer="0.3"/>
  <pageSetup fitToHeight="0" orientation="landscape"/>
  <headerFooter>
    <oddHeader>&amp;L希望之光 Hope Light&amp;C品牌營運管理系統&amp;R&amp;D</oddHeader>
    <oddFooter>&amp;L[Codex] 初版｜待確認資料不可直接對外&amp;R第 &amp;P / &amp;N 頁</oddFooter>
  </headerFooter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243B5A"/>
    <pageSetUpPr fitToPage="1"/>
  </sheetPr>
  <dimension ref="A1:P23"/>
  <sheetViews>
    <sheetView showGridLines="0" workbookViewId="0">
      <pane ySplit="4" topLeftCell="A5" activePane="bottomLeft" state="frozen"/>
      <selection pane="bottomLeft" sqref="A1:M1"/>
    </sheetView>
  </sheetViews>
  <sheetFormatPr defaultRowHeight="19.95" customHeight="1"/>
  <cols>
    <col min="1" max="1" width="18.75" customWidth="1"/>
    <col min="2" max="2" width="34.75" customWidth="1"/>
    <col min="3" max="3" width="12.75" style="6" customWidth="1"/>
    <col min="4" max="6" width="10.75" customWidth="1"/>
    <col min="7" max="7" width="12.75" customWidth="1"/>
    <col min="8" max="9" width="10.75" customWidth="1"/>
    <col min="10" max="10" width="12.75" customWidth="1"/>
    <col min="11" max="11" width="13.75" customWidth="1"/>
    <col min="12" max="12" width="10.75" customWidth="1"/>
    <col min="13" max="13" width="12.75" customWidth="1"/>
    <col min="14" max="14" width="14.75" style="6" customWidth="1"/>
    <col min="15" max="15" width="15.75" customWidth="1"/>
    <col min="16" max="16" width="13.75" style="8" customWidth="1"/>
  </cols>
  <sheetData>
    <row r="1" spans="1:16" ht="34.049999999999997" customHeight="1">
      <c r="A1" s="9" t="s">
        <v>673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2" spans="1:16" ht="31.05" customHeight="1">
      <c r="A2" s="10" t="s">
        <v>674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4" spans="1:16" ht="19.95" customHeight="1">
      <c r="A4" t="s">
        <v>399</v>
      </c>
      <c r="B4" t="s">
        <v>666</v>
      </c>
      <c r="C4" s="6" t="s">
        <v>407</v>
      </c>
      <c r="D4" t="s">
        <v>412</v>
      </c>
      <c r="E4" t="s">
        <v>675</v>
      </c>
      <c r="F4" t="s">
        <v>676</v>
      </c>
      <c r="G4" t="s">
        <v>677</v>
      </c>
      <c r="H4" t="s">
        <v>678</v>
      </c>
      <c r="I4" t="s">
        <v>679</v>
      </c>
      <c r="J4" t="s">
        <v>680</v>
      </c>
      <c r="K4" t="s">
        <v>681</v>
      </c>
      <c r="L4" t="s">
        <v>682</v>
      </c>
      <c r="M4" t="s">
        <v>683</v>
      </c>
      <c r="N4" s="6" t="s">
        <v>684</v>
      </c>
      <c r="O4" t="s">
        <v>79</v>
      </c>
      <c r="P4" s="8" t="s">
        <v>685</v>
      </c>
    </row>
    <row r="5" spans="1:16" ht="19.95" customHeight="1">
      <c r="A5" t="s">
        <v>416</v>
      </c>
      <c r="B5" t="s">
        <v>418</v>
      </c>
      <c r="C5" s="6">
        <v>8400</v>
      </c>
      <c r="D5">
        <v>1</v>
      </c>
      <c r="E5">
        <f>SUMIFS(tblInventory[數量],tblInventory[SKU],tblStock[[#This Row],[SKU]],tblInventory[異動類型],"期初")</f>
        <v>0</v>
      </c>
      <c r="F5">
        <f>SUMIFS(tblInventory[數量],tblInventory[SKU],tblStock[[#This Row],[SKU]],tblInventory[異動類型],"進貨")</f>
        <v>0</v>
      </c>
      <c r="G5">
        <f>SUMIFS(tblInventory[數量],tblInventory[SKU],tblStock[[#This Row],[SKU]],tblInventory[異動類型],"退貨入庫")</f>
        <v>0</v>
      </c>
      <c r="H5">
        <f>SUMIFS(tblInventory[數量],tblInventory[SKU],tblStock[[#This Row],[SKU]],tblInventory[異動類型],"盤盈")</f>
        <v>0</v>
      </c>
      <c r="I5">
        <f>SUMIFS(tblInventory[數量],tblInventory[SKU],tblStock[[#This Row],[SKU]],tblInventory[異動類型],"銷售")</f>
        <v>0</v>
      </c>
      <c r="J5">
        <f>SUMIFS(tblInventory[數量],tblInventory[SKU],tblStock[[#This Row],[SKU]],tblInventory[異動類型],"退貨出庫")</f>
        <v>0</v>
      </c>
      <c r="K5">
        <f>SUMIFS(tblInventory[數量],tblInventory[SKU],tblStock[[#This Row],[SKU]],tblInventory[異動類型],"贈品")+SUMIFS(tblInventory[數量],tblInventory[SKU],tblStock[[#This Row],[SKU]],tblInventory[異動類型],"樣品")</f>
        <v>0</v>
      </c>
      <c r="L5">
        <f>SUMIFS(tblInventory[數量],tblInventory[SKU],tblStock[[#This Row],[SKU]],tblInventory[異動類型],"盤虧")</f>
        <v>0</v>
      </c>
      <c r="M5">
        <f>tblStock[[#This Row],[期初]]+tblStock[[#This Row],[進貨]]+tblStock[[#This Row],[退貨入庫]]+tblStock[[#This Row],[盤盈]]-tblStock[[#This Row],[銷售]]-tblStock[[#This Row],[退貨出庫]]-tblStock[[#This Row],[贈品／樣品]]-tblStock[[#This Row],[盤虧]]</f>
        <v>0</v>
      </c>
      <c r="N5" s="6">
        <f>IF(tblStock[[#This Row],[單位成本]]="","",tblStock[[#This Row],[即時庫存]]*tblStock[[#This Row],[單位成本]])</f>
        <v>0</v>
      </c>
      <c r="O5" t="str">
        <f>IF(COUNTIF(tblInventory[SKU],tblStock[[#This Row],[SKU]])=0,"待建立期初",IF(tblStock[[#This Row],[即時庫存]]&lt;0,"負庫存",IF(tblStock[[#This Row],[即時庫存]]&lt;=tblStock[[#This Row],[補貨點]],"補貨提醒","正常")))</f>
        <v>待建立期初</v>
      </c>
      <c r="P5" s="8">
        <f>IFERROR(_xlfn.MAXIFS(tblInventory[日期],tblInventory[SKU],tblStock[[#This Row],[SKU]]),"")</f>
        <v>0</v>
      </c>
    </row>
    <row r="6" spans="1:16" ht="19.95" customHeight="1">
      <c r="A6" t="s">
        <v>427</v>
      </c>
      <c r="B6" t="s">
        <v>428</v>
      </c>
      <c r="C6" s="6">
        <v>12450</v>
      </c>
      <c r="D6">
        <v>1</v>
      </c>
      <c r="E6">
        <f>SUMIFS(tblInventory[數量],tblInventory[SKU],tblStock[[#This Row],[SKU]],tblInventory[異動類型],"期初")</f>
        <v>0</v>
      </c>
      <c r="F6">
        <f>SUMIFS(tblInventory[數量],tblInventory[SKU],tblStock[[#This Row],[SKU]],tblInventory[異動類型],"進貨")</f>
        <v>0</v>
      </c>
      <c r="G6">
        <f>SUMIFS(tblInventory[數量],tblInventory[SKU],tblStock[[#This Row],[SKU]],tblInventory[異動類型],"退貨入庫")</f>
        <v>0</v>
      </c>
      <c r="H6">
        <f>SUMIFS(tblInventory[數量],tblInventory[SKU],tblStock[[#This Row],[SKU]],tblInventory[異動類型],"盤盈")</f>
        <v>0</v>
      </c>
      <c r="I6">
        <f>SUMIFS(tblInventory[數量],tblInventory[SKU],tblStock[[#This Row],[SKU]],tblInventory[異動類型],"銷售")</f>
        <v>0</v>
      </c>
      <c r="J6">
        <f>SUMIFS(tblInventory[數量],tblInventory[SKU],tblStock[[#This Row],[SKU]],tblInventory[異動類型],"退貨出庫")</f>
        <v>0</v>
      </c>
      <c r="K6">
        <f>SUMIFS(tblInventory[數量],tblInventory[SKU],tblStock[[#This Row],[SKU]],tblInventory[異動類型],"贈品")+SUMIFS(tblInventory[數量],tblInventory[SKU],tblStock[[#This Row],[SKU]],tblInventory[異動類型],"樣品")</f>
        <v>0</v>
      </c>
      <c r="L6">
        <f>SUMIFS(tblInventory[數量],tblInventory[SKU],tblStock[[#This Row],[SKU]],tblInventory[異動類型],"盤虧")</f>
        <v>0</v>
      </c>
      <c r="M6">
        <f>tblStock[[#This Row],[期初]]+tblStock[[#This Row],[進貨]]+tblStock[[#This Row],[退貨入庫]]+tblStock[[#This Row],[盤盈]]-tblStock[[#This Row],[銷售]]-tblStock[[#This Row],[退貨出庫]]-tblStock[[#This Row],[贈品／樣品]]-tblStock[[#This Row],[盤虧]]</f>
        <v>0</v>
      </c>
      <c r="N6" s="6">
        <f>IF(tblStock[[#This Row],[單位成本]]="","",tblStock[[#This Row],[即時庫存]]*tblStock[[#This Row],[單位成本]])</f>
        <v>0</v>
      </c>
      <c r="O6" t="str">
        <f>IF(COUNTIF(tblInventory[SKU],tblStock[[#This Row],[SKU]])=0,"待建立期初",IF(tblStock[[#This Row],[即時庫存]]&lt;0,"負庫存",IF(tblStock[[#This Row],[即時庫存]]&lt;=tblStock[[#This Row],[補貨點]],"補貨提醒","正常")))</f>
        <v>待建立期初</v>
      </c>
      <c r="P6" s="8">
        <f>IFERROR(_xlfn.MAXIFS(tblInventory[日期],tblInventory[SKU],tblStock[[#This Row],[SKU]]),"")</f>
        <v>0</v>
      </c>
    </row>
    <row r="7" spans="1:16" ht="19.95" customHeight="1">
      <c r="A7" t="s">
        <v>432</v>
      </c>
      <c r="B7" t="s">
        <v>433</v>
      </c>
      <c r="C7" s="6">
        <v>8400</v>
      </c>
      <c r="D7">
        <v>1</v>
      </c>
      <c r="E7">
        <f>SUMIFS(tblInventory[數量],tblInventory[SKU],tblStock[[#This Row],[SKU]],tblInventory[異動類型],"期初")</f>
        <v>0</v>
      </c>
      <c r="F7">
        <f>SUMIFS(tblInventory[數量],tblInventory[SKU],tblStock[[#This Row],[SKU]],tblInventory[異動類型],"進貨")</f>
        <v>0</v>
      </c>
      <c r="G7">
        <f>SUMIFS(tblInventory[數量],tblInventory[SKU],tblStock[[#This Row],[SKU]],tblInventory[異動類型],"退貨入庫")</f>
        <v>0</v>
      </c>
      <c r="H7">
        <f>SUMIFS(tblInventory[數量],tblInventory[SKU],tblStock[[#This Row],[SKU]],tblInventory[異動類型],"盤盈")</f>
        <v>0</v>
      </c>
      <c r="I7">
        <f>SUMIFS(tblInventory[數量],tblInventory[SKU],tblStock[[#This Row],[SKU]],tblInventory[異動類型],"銷售")</f>
        <v>0</v>
      </c>
      <c r="J7">
        <f>SUMIFS(tblInventory[數量],tblInventory[SKU],tblStock[[#This Row],[SKU]],tblInventory[異動類型],"退貨出庫")</f>
        <v>0</v>
      </c>
      <c r="K7">
        <f>SUMIFS(tblInventory[數量],tblInventory[SKU],tblStock[[#This Row],[SKU]],tblInventory[異動類型],"贈品")+SUMIFS(tblInventory[數量],tblInventory[SKU],tblStock[[#This Row],[SKU]],tblInventory[異動類型],"樣品")</f>
        <v>0</v>
      </c>
      <c r="L7">
        <f>SUMIFS(tblInventory[數量],tblInventory[SKU],tblStock[[#This Row],[SKU]],tblInventory[異動類型],"盤虧")</f>
        <v>0</v>
      </c>
      <c r="M7">
        <f>tblStock[[#This Row],[期初]]+tblStock[[#This Row],[進貨]]+tblStock[[#This Row],[退貨入庫]]+tblStock[[#This Row],[盤盈]]-tblStock[[#This Row],[銷售]]-tblStock[[#This Row],[退貨出庫]]-tblStock[[#This Row],[贈品／樣品]]-tblStock[[#This Row],[盤虧]]</f>
        <v>0</v>
      </c>
      <c r="N7" s="6">
        <f>IF(tblStock[[#This Row],[單位成本]]="","",tblStock[[#This Row],[即時庫存]]*tblStock[[#This Row],[單位成本]])</f>
        <v>0</v>
      </c>
      <c r="O7" t="str">
        <f>IF(COUNTIF(tblInventory[SKU],tblStock[[#This Row],[SKU]])=0,"待建立期初",IF(tblStock[[#This Row],[即時庫存]]&lt;0,"負庫存",IF(tblStock[[#This Row],[即時庫存]]&lt;=tblStock[[#This Row],[補貨點]],"補貨提醒","正常")))</f>
        <v>待建立期初</v>
      </c>
      <c r="P7" s="8">
        <f>IFERROR(_xlfn.MAXIFS(tblInventory[日期],tblInventory[SKU],tblStock[[#This Row],[SKU]]),"")</f>
        <v>0</v>
      </c>
    </row>
    <row r="8" spans="1:16" ht="19.95" customHeight="1">
      <c r="A8" t="s">
        <v>437</v>
      </c>
      <c r="B8" t="s">
        <v>438</v>
      </c>
      <c r="C8" s="6">
        <v>5000</v>
      </c>
      <c r="D8">
        <v>1</v>
      </c>
      <c r="E8">
        <f>SUMIFS(tblInventory[數量],tblInventory[SKU],tblStock[[#This Row],[SKU]],tblInventory[異動類型],"期初")</f>
        <v>0</v>
      </c>
      <c r="F8">
        <f>SUMIFS(tblInventory[數量],tblInventory[SKU],tblStock[[#This Row],[SKU]],tblInventory[異動類型],"進貨")</f>
        <v>0</v>
      </c>
      <c r="G8">
        <f>SUMIFS(tblInventory[數量],tblInventory[SKU],tblStock[[#This Row],[SKU]],tblInventory[異動類型],"退貨入庫")</f>
        <v>0</v>
      </c>
      <c r="H8">
        <f>SUMIFS(tblInventory[數量],tblInventory[SKU],tblStock[[#This Row],[SKU]],tblInventory[異動類型],"盤盈")</f>
        <v>0</v>
      </c>
      <c r="I8">
        <f>SUMIFS(tblInventory[數量],tblInventory[SKU],tblStock[[#This Row],[SKU]],tblInventory[異動類型],"銷售")</f>
        <v>0</v>
      </c>
      <c r="J8">
        <f>SUMIFS(tblInventory[數量],tblInventory[SKU],tblStock[[#This Row],[SKU]],tblInventory[異動類型],"退貨出庫")</f>
        <v>0</v>
      </c>
      <c r="K8">
        <f>SUMIFS(tblInventory[數量],tblInventory[SKU],tblStock[[#This Row],[SKU]],tblInventory[異動類型],"贈品")+SUMIFS(tblInventory[數量],tblInventory[SKU],tblStock[[#This Row],[SKU]],tblInventory[異動類型],"樣品")</f>
        <v>0</v>
      </c>
      <c r="L8">
        <f>SUMIFS(tblInventory[數量],tblInventory[SKU],tblStock[[#This Row],[SKU]],tblInventory[異動類型],"盤虧")</f>
        <v>0</v>
      </c>
      <c r="M8">
        <f>tblStock[[#This Row],[期初]]+tblStock[[#This Row],[進貨]]+tblStock[[#This Row],[退貨入庫]]+tblStock[[#This Row],[盤盈]]-tblStock[[#This Row],[銷售]]-tblStock[[#This Row],[退貨出庫]]-tblStock[[#This Row],[贈品／樣品]]-tblStock[[#This Row],[盤虧]]</f>
        <v>0</v>
      </c>
      <c r="N8" s="6">
        <f>IF(tblStock[[#This Row],[單位成本]]="","",tblStock[[#This Row],[即時庫存]]*tblStock[[#This Row],[單位成本]])</f>
        <v>0</v>
      </c>
      <c r="O8" t="str">
        <f>IF(COUNTIF(tblInventory[SKU],tblStock[[#This Row],[SKU]])=0,"待建立期初",IF(tblStock[[#This Row],[即時庫存]]&lt;0,"負庫存",IF(tblStock[[#This Row],[即時庫存]]&lt;=tblStock[[#This Row],[補貨點]],"補貨提醒","正常")))</f>
        <v>待建立期初</v>
      </c>
      <c r="P8" s="8">
        <f>IFERROR(_xlfn.MAXIFS(tblInventory[日期],tblInventory[SKU],tblStock[[#This Row],[SKU]]),"")</f>
        <v>0</v>
      </c>
    </row>
    <row r="9" spans="1:16" ht="19.95" customHeight="1">
      <c r="A9" t="s">
        <v>443</v>
      </c>
      <c r="B9" t="s">
        <v>444</v>
      </c>
      <c r="C9" s="6">
        <v>5000</v>
      </c>
      <c r="D9">
        <v>1</v>
      </c>
      <c r="E9">
        <f>SUMIFS(tblInventory[數量],tblInventory[SKU],tblStock[[#This Row],[SKU]],tblInventory[異動類型],"期初")</f>
        <v>0</v>
      </c>
      <c r="F9">
        <f>SUMIFS(tblInventory[數量],tblInventory[SKU],tblStock[[#This Row],[SKU]],tblInventory[異動類型],"進貨")</f>
        <v>0</v>
      </c>
      <c r="G9">
        <f>SUMIFS(tblInventory[數量],tblInventory[SKU],tblStock[[#This Row],[SKU]],tblInventory[異動類型],"退貨入庫")</f>
        <v>0</v>
      </c>
      <c r="H9">
        <f>SUMIFS(tblInventory[數量],tblInventory[SKU],tblStock[[#This Row],[SKU]],tblInventory[異動類型],"盤盈")</f>
        <v>0</v>
      </c>
      <c r="I9">
        <f>SUMIFS(tblInventory[數量],tblInventory[SKU],tblStock[[#This Row],[SKU]],tblInventory[異動類型],"銷售")</f>
        <v>0</v>
      </c>
      <c r="J9">
        <f>SUMIFS(tblInventory[數量],tblInventory[SKU],tblStock[[#This Row],[SKU]],tblInventory[異動類型],"退貨出庫")</f>
        <v>0</v>
      </c>
      <c r="K9">
        <f>SUMIFS(tblInventory[數量],tblInventory[SKU],tblStock[[#This Row],[SKU]],tblInventory[異動類型],"贈品")+SUMIFS(tblInventory[數量],tblInventory[SKU],tblStock[[#This Row],[SKU]],tblInventory[異動類型],"樣品")</f>
        <v>0</v>
      </c>
      <c r="L9">
        <f>SUMIFS(tblInventory[數量],tblInventory[SKU],tblStock[[#This Row],[SKU]],tblInventory[異動類型],"盤虧")</f>
        <v>0</v>
      </c>
      <c r="M9">
        <f>tblStock[[#This Row],[期初]]+tblStock[[#This Row],[進貨]]+tblStock[[#This Row],[退貨入庫]]+tblStock[[#This Row],[盤盈]]-tblStock[[#This Row],[銷售]]-tblStock[[#This Row],[退貨出庫]]-tblStock[[#This Row],[贈品／樣品]]-tblStock[[#This Row],[盤虧]]</f>
        <v>0</v>
      </c>
      <c r="N9" s="6">
        <f>IF(tblStock[[#This Row],[單位成本]]="","",tblStock[[#This Row],[即時庫存]]*tblStock[[#This Row],[單位成本]])</f>
        <v>0</v>
      </c>
      <c r="O9" t="str">
        <f>IF(COUNTIF(tblInventory[SKU],tblStock[[#This Row],[SKU]])=0,"待建立期初",IF(tblStock[[#This Row],[即時庫存]]&lt;0,"負庫存",IF(tblStock[[#This Row],[即時庫存]]&lt;=tblStock[[#This Row],[補貨點]],"補貨提醒","正常")))</f>
        <v>待建立期初</v>
      </c>
      <c r="P9" s="8">
        <f>IFERROR(_xlfn.MAXIFS(tblInventory[日期],tblInventory[SKU],tblStock[[#This Row],[SKU]]),"")</f>
        <v>0</v>
      </c>
    </row>
    <row r="10" spans="1:16" ht="19.95" customHeight="1">
      <c r="A10" t="s">
        <v>446</v>
      </c>
      <c r="B10" t="s">
        <v>448</v>
      </c>
      <c r="C10" s="6">
        <v>5000</v>
      </c>
      <c r="D10">
        <v>1</v>
      </c>
      <c r="E10">
        <f>SUMIFS(tblInventory[數量],tblInventory[SKU],tblStock[[#This Row],[SKU]],tblInventory[異動類型],"期初")</f>
        <v>0</v>
      </c>
      <c r="F10">
        <f>SUMIFS(tblInventory[數量],tblInventory[SKU],tblStock[[#This Row],[SKU]],tblInventory[異動類型],"進貨")</f>
        <v>0</v>
      </c>
      <c r="G10">
        <f>SUMIFS(tblInventory[數量],tblInventory[SKU],tblStock[[#This Row],[SKU]],tblInventory[異動類型],"退貨入庫")</f>
        <v>0</v>
      </c>
      <c r="H10">
        <f>SUMIFS(tblInventory[數量],tblInventory[SKU],tblStock[[#This Row],[SKU]],tblInventory[異動類型],"盤盈")</f>
        <v>0</v>
      </c>
      <c r="I10">
        <f>SUMIFS(tblInventory[數量],tblInventory[SKU],tblStock[[#This Row],[SKU]],tblInventory[異動類型],"銷售")</f>
        <v>0</v>
      </c>
      <c r="J10">
        <f>SUMIFS(tblInventory[數量],tblInventory[SKU],tblStock[[#This Row],[SKU]],tblInventory[異動類型],"退貨出庫")</f>
        <v>0</v>
      </c>
      <c r="K10">
        <f>SUMIFS(tblInventory[數量],tblInventory[SKU],tblStock[[#This Row],[SKU]],tblInventory[異動類型],"贈品")+SUMIFS(tblInventory[數量],tblInventory[SKU],tblStock[[#This Row],[SKU]],tblInventory[異動類型],"樣品")</f>
        <v>0</v>
      </c>
      <c r="L10">
        <f>SUMIFS(tblInventory[數量],tblInventory[SKU],tblStock[[#This Row],[SKU]],tblInventory[異動類型],"盤虧")</f>
        <v>0</v>
      </c>
      <c r="M10">
        <f>tblStock[[#This Row],[期初]]+tblStock[[#This Row],[進貨]]+tblStock[[#This Row],[退貨入庫]]+tblStock[[#This Row],[盤盈]]-tblStock[[#This Row],[銷售]]-tblStock[[#This Row],[退貨出庫]]-tblStock[[#This Row],[贈品／樣品]]-tblStock[[#This Row],[盤虧]]</f>
        <v>0</v>
      </c>
      <c r="N10" s="6">
        <f>IF(tblStock[[#This Row],[單位成本]]="","",tblStock[[#This Row],[即時庫存]]*tblStock[[#This Row],[單位成本]])</f>
        <v>0</v>
      </c>
      <c r="O10" t="str">
        <f>IF(COUNTIF(tblInventory[SKU],tblStock[[#This Row],[SKU]])=0,"待建立期初",IF(tblStock[[#This Row],[即時庫存]]&lt;0,"負庫存",IF(tblStock[[#This Row],[即時庫存]]&lt;=tblStock[[#This Row],[補貨點]],"補貨提醒","正常")))</f>
        <v>待建立期初</v>
      </c>
      <c r="P10" s="8">
        <f>IFERROR(_xlfn.MAXIFS(tblInventory[日期],tblInventory[SKU],tblStock[[#This Row],[SKU]]),"")</f>
        <v>0</v>
      </c>
    </row>
    <row r="11" spans="1:16" ht="19.95" customHeight="1">
      <c r="A11" t="s">
        <v>451</v>
      </c>
      <c r="B11" t="s">
        <v>452</v>
      </c>
      <c r="C11" s="6">
        <v>5000</v>
      </c>
      <c r="D11">
        <v>1</v>
      </c>
      <c r="E11">
        <f>SUMIFS(tblInventory[數量],tblInventory[SKU],tblStock[[#This Row],[SKU]],tblInventory[異動類型],"期初")</f>
        <v>0</v>
      </c>
      <c r="F11">
        <f>SUMIFS(tblInventory[數量],tblInventory[SKU],tblStock[[#This Row],[SKU]],tblInventory[異動類型],"進貨")</f>
        <v>0</v>
      </c>
      <c r="G11">
        <f>SUMIFS(tblInventory[數量],tblInventory[SKU],tblStock[[#This Row],[SKU]],tblInventory[異動類型],"退貨入庫")</f>
        <v>0</v>
      </c>
      <c r="H11">
        <f>SUMIFS(tblInventory[數量],tblInventory[SKU],tblStock[[#This Row],[SKU]],tblInventory[異動類型],"盤盈")</f>
        <v>0</v>
      </c>
      <c r="I11">
        <f>SUMIFS(tblInventory[數量],tblInventory[SKU],tblStock[[#This Row],[SKU]],tblInventory[異動類型],"銷售")</f>
        <v>0</v>
      </c>
      <c r="J11">
        <f>SUMIFS(tblInventory[數量],tblInventory[SKU],tblStock[[#This Row],[SKU]],tblInventory[異動類型],"退貨出庫")</f>
        <v>0</v>
      </c>
      <c r="K11">
        <f>SUMIFS(tblInventory[數量],tblInventory[SKU],tblStock[[#This Row],[SKU]],tblInventory[異動類型],"贈品")+SUMIFS(tblInventory[數量],tblInventory[SKU],tblStock[[#This Row],[SKU]],tblInventory[異動類型],"樣品")</f>
        <v>0</v>
      </c>
      <c r="L11">
        <f>SUMIFS(tblInventory[數量],tblInventory[SKU],tblStock[[#This Row],[SKU]],tblInventory[異動類型],"盤虧")</f>
        <v>0</v>
      </c>
      <c r="M11">
        <f>tblStock[[#This Row],[期初]]+tblStock[[#This Row],[進貨]]+tblStock[[#This Row],[退貨入庫]]+tblStock[[#This Row],[盤盈]]-tblStock[[#This Row],[銷售]]-tblStock[[#This Row],[退貨出庫]]-tblStock[[#This Row],[贈品／樣品]]-tblStock[[#This Row],[盤虧]]</f>
        <v>0</v>
      </c>
      <c r="N11" s="6">
        <f>IF(tblStock[[#This Row],[單位成本]]="","",tblStock[[#This Row],[即時庫存]]*tblStock[[#This Row],[單位成本]])</f>
        <v>0</v>
      </c>
      <c r="O11" t="str">
        <f>IF(COUNTIF(tblInventory[SKU],tblStock[[#This Row],[SKU]])=0,"待建立期初",IF(tblStock[[#This Row],[即時庫存]]&lt;0,"負庫存",IF(tblStock[[#This Row],[即時庫存]]&lt;=tblStock[[#This Row],[補貨點]],"補貨提醒","正常")))</f>
        <v>待建立期初</v>
      </c>
      <c r="P11" s="8">
        <f>IFERROR(_xlfn.MAXIFS(tblInventory[日期],tblInventory[SKU],tblStock[[#This Row],[SKU]]),"")</f>
        <v>0</v>
      </c>
    </row>
    <row r="12" spans="1:16" ht="19.95" customHeight="1">
      <c r="A12" t="s">
        <v>454</v>
      </c>
      <c r="B12" t="s">
        <v>455</v>
      </c>
      <c r="D12">
        <v>1</v>
      </c>
      <c r="E12">
        <f>SUMIFS(tblInventory[數量],tblInventory[SKU],tblStock[[#This Row],[SKU]],tblInventory[異動類型],"期初")</f>
        <v>0</v>
      </c>
      <c r="F12">
        <f>SUMIFS(tblInventory[數量],tblInventory[SKU],tblStock[[#This Row],[SKU]],tblInventory[異動類型],"進貨")</f>
        <v>0</v>
      </c>
      <c r="G12">
        <f>SUMIFS(tblInventory[數量],tblInventory[SKU],tblStock[[#This Row],[SKU]],tblInventory[異動類型],"退貨入庫")</f>
        <v>0</v>
      </c>
      <c r="H12">
        <f>SUMIFS(tblInventory[數量],tblInventory[SKU],tblStock[[#This Row],[SKU]],tblInventory[異動類型],"盤盈")</f>
        <v>0</v>
      </c>
      <c r="I12">
        <f>SUMIFS(tblInventory[數量],tblInventory[SKU],tblStock[[#This Row],[SKU]],tblInventory[異動類型],"銷售")</f>
        <v>0</v>
      </c>
      <c r="J12">
        <f>SUMIFS(tblInventory[數量],tblInventory[SKU],tblStock[[#This Row],[SKU]],tblInventory[異動類型],"退貨出庫")</f>
        <v>0</v>
      </c>
      <c r="K12">
        <f>SUMIFS(tblInventory[數量],tblInventory[SKU],tblStock[[#This Row],[SKU]],tblInventory[異動類型],"贈品")+SUMIFS(tblInventory[數量],tblInventory[SKU],tblStock[[#This Row],[SKU]],tblInventory[異動類型],"樣品")</f>
        <v>0</v>
      </c>
      <c r="L12">
        <f>SUMIFS(tblInventory[數量],tblInventory[SKU],tblStock[[#This Row],[SKU]],tblInventory[異動類型],"盤虧")</f>
        <v>0</v>
      </c>
      <c r="M12">
        <f>tblStock[[#This Row],[期初]]+tblStock[[#This Row],[進貨]]+tblStock[[#This Row],[退貨入庫]]+tblStock[[#This Row],[盤盈]]-tblStock[[#This Row],[銷售]]-tblStock[[#This Row],[退貨出庫]]-tblStock[[#This Row],[贈品／樣品]]-tblStock[[#This Row],[盤虧]]</f>
        <v>0</v>
      </c>
      <c r="N12" s="6" t="str">
        <f>IF(tblStock[[#This Row],[單位成本]]="","",tblStock[[#This Row],[即時庫存]]*tblStock[[#This Row],[單位成本]])</f>
        <v/>
      </c>
      <c r="O12" t="str">
        <f>IF(COUNTIF(tblInventory[SKU],tblStock[[#This Row],[SKU]])=0,"待建立期初",IF(tblStock[[#This Row],[即時庫存]]&lt;0,"負庫存",IF(tblStock[[#This Row],[即時庫存]]&lt;=tblStock[[#This Row],[補貨點]],"補貨提醒","正常")))</f>
        <v>待建立期初</v>
      </c>
      <c r="P12" s="8">
        <f>IFERROR(_xlfn.MAXIFS(tblInventory[日期],tblInventory[SKU],tblStock[[#This Row],[SKU]]),"")</f>
        <v>0</v>
      </c>
    </row>
    <row r="13" spans="1:16" ht="19.95" customHeight="1">
      <c r="A13" t="s">
        <v>460</v>
      </c>
      <c r="B13" t="s">
        <v>462</v>
      </c>
      <c r="C13" s="6">
        <v>65</v>
      </c>
      <c r="D13">
        <v>10</v>
      </c>
      <c r="E13">
        <f>SUMIFS(tblInventory[數量],tblInventory[SKU],tblStock[[#This Row],[SKU]],tblInventory[異動類型],"期初")</f>
        <v>0</v>
      </c>
      <c r="F13">
        <f>SUMIFS(tblInventory[數量],tblInventory[SKU],tblStock[[#This Row],[SKU]],tblInventory[異動類型],"進貨")</f>
        <v>0</v>
      </c>
      <c r="G13">
        <f>SUMIFS(tblInventory[數量],tblInventory[SKU],tblStock[[#This Row],[SKU]],tblInventory[異動類型],"退貨入庫")</f>
        <v>0</v>
      </c>
      <c r="H13">
        <f>SUMIFS(tblInventory[數量],tblInventory[SKU],tblStock[[#This Row],[SKU]],tblInventory[異動類型],"盤盈")</f>
        <v>0</v>
      </c>
      <c r="I13">
        <f>SUMIFS(tblInventory[數量],tblInventory[SKU],tblStock[[#This Row],[SKU]],tblInventory[異動類型],"銷售")</f>
        <v>0</v>
      </c>
      <c r="J13">
        <f>SUMIFS(tblInventory[數量],tblInventory[SKU],tblStock[[#This Row],[SKU]],tblInventory[異動類型],"退貨出庫")</f>
        <v>0</v>
      </c>
      <c r="K13">
        <f>SUMIFS(tblInventory[數量],tblInventory[SKU],tblStock[[#This Row],[SKU]],tblInventory[異動類型],"贈品")+SUMIFS(tblInventory[數量],tblInventory[SKU],tblStock[[#This Row],[SKU]],tblInventory[異動類型],"樣品")</f>
        <v>0</v>
      </c>
      <c r="L13">
        <f>SUMIFS(tblInventory[數量],tblInventory[SKU],tblStock[[#This Row],[SKU]],tblInventory[異動類型],"盤虧")</f>
        <v>0</v>
      </c>
      <c r="M13">
        <f>tblStock[[#This Row],[期初]]+tblStock[[#This Row],[進貨]]+tblStock[[#This Row],[退貨入庫]]+tblStock[[#This Row],[盤盈]]-tblStock[[#This Row],[銷售]]-tblStock[[#This Row],[退貨出庫]]-tblStock[[#This Row],[贈品／樣品]]-tblStock[[#This Row],[盤虧]]</f>
        <v>0</v>
      </c>
      <c r="N13" s="6">
        <f>IF(tblStock[[#This Row],[單位成本]]="","",tblStock[[#This Row],[即時庫存]]*tblStock[[#This Row],[單位成本]])</f>
        <v>0</v>
      </c>
      <c r="O13" t="str">
        <f>IF(COUNTIF(tblInventory[SKU],tblStock[[#This Row],[SKU]])=0,"待建立期初",IF(tblStock[[#This Row],[即時庫存]]&lt;0,"負庫存",IF(tblStock[[#This Row],[即時庫存]]&lt;=tblStock[[#This Row],[補貨點]],"補貨提醒","正常")))</f>
        <v>待建立期初</v>
      </c>
      <c r="P13" s="8">
        <f>IFERROR(_xlfn.MAXIFS(tblInventory[日期],tblInventory[SKU],tblStock[[#This Row],[SKU]]),"")</f>
        <v>0</v>
      </c>
    </row>
    <row r="14" spans="1:16" ht="19.95" customHeight="1">
      <c r="A14" t="s">
        <v>468</v>
      </c>
      <c r="B14" t="s">
        <v>469</v>
      </c>
      <c r="C14" s="6">
        <v>65</v>
      </c>
      <c r="D14">
        <v>10</v>
      </c>
      <c r="E14">
        <f>SUMIFS(tblInventory[數量],tblInventory[SKU],tblStock[[#This Row],[SKU]],tblInventory[異動類型],"期初")</f>
        <v>0</v>
      </c>
      <c r="F14">
        <f>SUMIFS(tblInventory[數量],tblInventory[SKU],tblStock[[#This Row],[SKU]],tblInventory[異動類型],"進貨")</f>
        <v>0</v>
      </c>
      <c r="G14">
        <f>SUMIFS(tblInventory[數量],tblInventory[SKU],tblStock[[#This Row],[SKU]],tblInventory[異動類型],"退貨入庫")</f>
        <v>0</v>
      </c>
      <c r="H14">
        <f>SUMIFS(tblInventory[數量],tblInventory[SKU],tblStock[[#This Row],[SKU]],tblInventory[異動類型],"盤盈")</f>
        <v>0</v>
      </c>
      <c r="I14">
        <f>SUMIFS(tblInventory[數量],tblInventory[SKU],tblStock[[#This Row],[SKU]],tblInventory[異動類型],"銷售")</f>
        <v>0</v>
      </c>
      <c r="J14">
        <f>SUMIFS(tblInventory[數量],tblInventory[SKU],tblStock[[#This Row],[SKU]],tblInventory[異動類型],"退貨出庫")</f>
        <v>0</v>
      </c>
      <c r="K14">
        <f>SUMIFS(tblInventory[數量],tblInventory[SKU],tblStock[[#This Row],[SKU]],tblInventory[異動類型],"贈品")+SUMIFS(tblInventory[數量],tblInventory[SKU],tblStock[[#This Row],[SKU]],tblInventory[異動類型],"樣品")</f>
        <v>0</v>
      </c>
      <c r="L14">
        <f>SUMIFS(tblInventory[數量],tblInventory[SKU],tblStock[[#This Row],[SKU]],tblInventory[異動類型],"盤虧")</f>
        <v>0</v>
      </c>
      <c r="M14">
        <f>tblStock[[#This Row],[期初]]+tblStock[[#This Row],[進貨]]+tblStock[[#This Row],[退貨入庫]]+tblStock[[#This Row],[盤盈]]-tblStock[[#This Row],[銷售]]-tblStock[[#This Row],[退貨出庫]]-tblStock[[#This Row],[贈品／樣品]]-tblStock[[#This Row],[盤虧]]</f>
        <v>0</v>
      </c>
      <c r="N14" s="6">
        <f>IF(tblStock[[#This Row],[單位成本]]="","",tblStock[[#This Row],[即時庫存]]*tblStock[[#This Row],[單位成本]])</f>
        <v>0</v>
      </c>
      <c r="O14" t="str">
        <f>IF(COUNTIF(tblInventory[SKU],tblStock[[#This Row],[SKU]])=0,"待建立期初",IF(tblStock[[#This Row],[即時庫存]]&lt;0,"負庫存",IF(tblStock[[#This Row],[即時庫存]]&lt;=tblStock[[#This Row],[補貨點]],"補貨提醒","正常")))</f>
        <v>待建立期初</v>
      </c>
      <c r="P14" s="8">
        <f>IFERROR(_xlfn.MAXIFS(tblInventory[日期],tblInventory[SKU],tblStock[[#This Row],[SKU]]),"")</f>
        <v>0</v>
      </c>
    </row>
    <row r="15" spans="1:16" ht="19.95" customHeight="1">
      <c r="A15" t="s">
        <v>470</v>
      </c>
      <c r="B15" t="s">
        <v>471</v>
      </c>
      <c r="C15" s="6">
        <v>65</v>
      </c>
      <c r="D15">
        <v>10</v>
      </c>
      <c r="E15">
        <f>SUMIFS(tblInventory[數量],tblInventory[SKU],tblStock[[#This Row],[SKU]],tblInventory[異動類型],"期初")</f>
        <v>0</v>
      </c>
      <c r="F15">
        <f>SUMIFS(tblInventory[數量],tblInventory[SKU],tblStock[[#This Row],[SKU]],tblInventory[異動類型],"進貨")</f>
        <v>0</v>
      </c>
      <c r="G15">
        <f>SUMIFS(tblInventory[數量],tblInventory[SKU],tblStock[[#This Row],[SKU]],tblInventory[異動類型],"退貨入庫")</f>
        <v>0</v>
      </c>
      <c r="H15">
        <f>SUMIFS(tblInventory[數量],tblInventory[SKU],tblStock[[#This Row],[SKU]],tblInventory[異動類型],"盤盈")</f>
        <v>0</v>
      </c>
      <c r="I15">
        <f>SUMIFS(tblInventory[數量],tblInventory[SKU],tblStock[[#This Row],[SKU]],tblInventory[異動類型],"銷售")</f>
        <v>0</v>
      </c>
      <c r="J15">
        <f>SUMIFS(tblInventory[數量],tblInventory[SKU],tblStock[[#This Row],[SKU]],tblInventory[異動類型],"退貨出庫")</f>
        <v>0</v>
      </c>
      <c r="K15">
        <f>SUMIFS(tblInventory[數量],tblInventory[SKU],tblStock[[#This Row],[SKU]],tblInventory[異動類型],"贈品")+SUMIFS(tblInventory[數量],tblInventory[SKU],tblStock[[#This Row],[SKU]],tblInventory[異動類型],"樣品")</f>
        <v>0</v>
      </c>
      <c r="L15">
        <f>SUMIFS(tblInventory[數量],tblInventory[SKU],tblStock[[#This Row],[SKU]],tblInventory[異動類型],"盤虧")</f>
        <v>0</v>
      </c>
      <c r="M15">
        <f>tblStock[[#This Row],[期初]]+tblStock[[#This Row],[進貨]]+tblStock[[#This Row],[退貨入庫]]+tblStock[[#This Row],[盤盈]]-tblStock[[#This Row],[銷售]]-tblStock[[#This Row],[退貨出庫]]-tblStock[[#This Row],[贈品／樣品]]-tblStock[[#This Row],[盤虧]]</f>
        <v>0</v>
      </c>
      <c r="N15" s="6">
        <f>IF(tblStock[[#This Row],[單位成本]]="","",tblStock[[#This Row],[即時庫存]]*tblStock[[#This Row],[單位成本]])</f>
        <v>0</v>
      </c>
      <c r="O15" t="str">
        <f>IF(COUNTIF(tblInventory[SKU],tblStock[[#This Row],[SKU]])=0,"待建立期初",IF(tblStock[[#This Row],[即時庫存]]&lt;0,"負庫存",IF(tblStock[[#This Row],[即時庫存]]&lt;=tblStock[[#This Row],[補貨點]],"補貨提醒","正常")))</f>
        <v>待建立期初</v>
      </c>
      <c r="P15" s="8">
        <f>IFERROR(_xlfn.MAXIFS(tblInventory[日期],tblInventory[SKU],tblStock[[#This Row],[SKU]]),"")</f>
        <v>0</v>
      </c>
    </row>
    <row r="16" spans="1:16" ht="19.95" customHeight="1">
      <c r="A16" t="s">
        <v>472</v>
      </c>
      <c r="B16" t="s">
        <v>473</v>
      </c>
      <c r="C16" s="6">
        <v>65</v>
      </c>
      <c r="D16">
        <v>10</v>
      </c>
      <c r="E16">
        <f>SUMIFS(tblInventory[數量],tblInventory[SKU],tblStock[[#This Row],[SKU]],tblInventory[異動類型],"期初")</f>
        <v>0</v>
      </c>
      <c r="F16">
        <f>SUMIFS(tblInventory[數量],tblInventory[SKU],tblStock[[#This Row],[SKU]],tblInventory[異動類型],"進貨")</f>
        <v>0</v>
      </c>
      <c r="G16">
        <f>SUMIFS(tblInventory[數量],tblInventory[SKU],tblStock[[#This Row],[SKU]],tblInventory[異動類型],"退貨入庫")</f>
        <v>0</v>
      </c>
      <c r="H16">
        <f>SUMIFS(tblInventory[數量],tblInventory[SKU],tblStock[[#This Row],[SKU]],tblInventory[異動類型],"盤盈")</f>
        <v>0</v>
      </c>
      <c r="I16">
        <f>SUMIFS(tblInventory[數量],tblInventory[SKU],tblStock[[#This Row],[SKU]],tblInventory[異動類型],"銷售")</f>
        <v>0</v>
      </c>
      <c r="J16">
        <f>SUMIFS(tblInventory[數量],tblInventory[SKU],tblStock[[#This Row],[SKU]],tblInventory[異動類型],"退貨出庫")</f>
        <v>0</v>
      </c>
      <c r="K16">
        <f>SUMIFS(tblInventory[數量],tblInventory[SKU],tblStock[[#This Row],[SKU]],tblInventory[異動類型],"贈品")+SUMIFS(tblInventory[數量],tblInventory[SKU],tblStock[[#This Row],[SKU]],tblInventory[異動類型],"樣品")</f>
        <v>0</v>
      </c>
      <c r="L16">
        <f>SUMIFS(tblInventory[數量],tblInventory[SKU],tblStock[[#This Row],[SKU]],tblInventory[異動類型],"盤虧")</f>
        <v>0</v>
      </c>
      <c r="M16">
        <f>tblStock[[#This Row],[期初]]+tblStock[[#This Row],[進貨]]+tblStock[[#This Row],[退貨入庫]]+tblStock[[#This Row],[盤盈]]-tblStock[[#This Row],[銷售]]-tblStock[[#This Row],[退貨出庫]]-tblStock[[#This Row],[贈品／樣品]]-tblStock[[#This Row],[盤虧]]</f>
        <v>0</v>
      </c>
      <c r="N16" s="6">
        <f>IF(tblStock[[#This Row],[單位成本]]="","",tblStock[[#This Row],[即時庫存]]*tblStock[[#This Row],[單位成本]])</f>
        <v>0</v>
      </c>
      <c r="O16" t="str">
        <f>IF(COUNTIF(tblInventory[SKU],tblStock[[#This Row],[SKU]])=0,"待建立期初",IF(tblStock[[#This Row],[即時庫存]]&lt;0,"負庫存",IF(tblStock[[#This Row],[即時庫存]]&lt;=tblStock[[#This Row],[補貨點]],"補貨提醒","正常")))</f>
        <v>待建立期初</v>
      </c>
      <c r="P16" s="8">
        <f>IFERROR(_xlfn.MAXIFS(tblInventory[日期],tblInventory[SKU],tblStock[[#This Row],[SKU]]),"")</f>
        <v>0</v>
      </c>
    </row>
    <row r="17" spans="1:16" ht="19.95" customHeight="1">
      <c r="A17" t="s">
        <v>474</v>
      </c>
      <c r="B17" t="s">
        <v>475</v>
      </c>
      <c r="C17" s="6">
        <v>65</v>
      </c>
      <c r="D17">
        <v>10</v>
      </c>
      <c r="E17">
        <f>SUMIFS(tblInventory[數量],tblInventory[SKU],tblStock[[#This Row],[SKU]],tblInventory[異動類型],"期初")</f>
        <v>0</v>
      </c>
      <c r="F17">
        <f>SUMIFS(tblInventory[數量],tblInventory[SKU],tblStock[[#This Row],[SKU]],tblInventory[異動類型],"進貨")</f>
        <v>0</v>
      </c>
      <c r="G17">
        <f>SUMIFS(tblInventory[數量],tblInventory[SKU],tblStock[[#This Row],[SKU]],tblInventory[異動類型],"退貨入庫")</f>
        <v>0</v>
      </c>
      <c r="H17">
        <f>SUMIFS(tblInventory[數量],tblInventory[SKU],tblStock[[#This Row],[SKU]],tblInventory[異動類型],"盤盈")</f>
        <v>0</v>
      </c>
      <c r="I17">
        <f>SUMIFS(tblInventory[數量],tblInventory[SKU],tblStock[[#This Row],[SKU]],tblInventory[異動類型],"銷售")</f>
        <v>0</v>
      </c>
      <c r="J17">
        <f>SUMIFS(tblInventory[數量],tblInventory[SKU],tblStock[[#This Row],[SKU]],tblInventory[異動類型],"退貨出庫")</f>
        <v>0</v>
      </c>
      <c r="K17">
        <f>SUMIFS(tblInventory[數量],tblInventory[SKU],tblStock[[#This Row],[SKU]],tblInventory[異動類型],"贈品")+SUMIFS(tblInventory[數量],tblInventory[SKU],tblStock[[#This Row],[SKU]],tblInventory[異動類型],"樣品")</f>
        <v>0</v>
      </c>
      <c r="L17">
        <f>SUMIFS(tblInventory[數量],tblInventory[SKU],tblStock[[#This Row],[SKU]],tblInventory[異動類型],"盤虧")</f>
        <v>0</v>
      </c>
      <c r="M17">
        <f>tblStock[[#This Row],[期初]]+tblStock[[#This Row],[進貨]]+tblStock[[#This Row],[退貨入庫]]+tblStock[[#This Row],[盤盈]]-tblStock[[#This Row],[銷售]]-tblStock[[#This Row],[退貨出庫]]-tblStock[[#This Row],[贈品／樣品]]-tblStock[[#This Row],[盤虧]]</f>
        <v>0</v>
      </c>
      <c r="N17" s="6">
        <f>IF(tblStock[[#This Row],[單位成本]]="","",tblStock[[#This Row],[即時庫存]]*tblStock[[#This Row],[單位成本]])</f>
        <v>0</v>
      </c>
      <c r="O17" t="str">
        <f>IF(COUNTIF(tblInventory[SKU],tblStock[[#This Row],[SKU]])=0,"待建立期初",IF(tblStock[[#This Row],[即時庫存]]&lt;0,"負庫存",IF(tblStock[[#This Row],[即時庫存]]&lt;=tblStock[[#This Row],[補貨點]],"補貨提醒","正常")))</f>
        <v>待建立期初</v>
      </c>
      <c r="P17" s="8">
        <f>IFERROR(_xlfn.MAXIFS(tblInventory[日期],tblInventory[SKU],tblStock[[#This Row],[SKU]]),"")</f>
        <v>0</v>
      </c>
    </row>
    <row r="18" spans="1:16" ht="19.95" customHeight="1">
      <c r="A18" t="s">
        <v>476</v>
      </c>
      <c r="B18" t="s">
        <v>477</v>
      </c>
      <c r="C18" s="6">
        <v>65</v>
      </c>
      <c r="D18">
        <v>10</v>
      </c>
      <c r="E18">
        <f>SUMIFS(tblInventory[數量],tblInventory[SKU],tblStock[[#This Row],[SKU]],tblInventory[異動類型],"期初")</f>
        <v>0</v>
      </c>
      <c r="F18">
        <f>SUMIFS(tblInventory[數量],tblInventory[SKU],tblStock[[#This Row],[SKU]],tblInventory[異動類型],"進貨")</f>
        <v>0</v>
      </c>
      <c r="G18">
        <f>SUMIFS(tblInventory[數量],tblInventory[SKU],tblStock[[#This Row],[SKU]],tblInventory[異動類型],"退貨入庫")</f>
        <v>0</v>
      </c>
      <c r="H18">
        <f>SUMIFS(tblInventory[數量],tblInventory[SKU],tblStock[[#This Row],[SKU]],tblInventory[異動類型],"盤盈")</f>
        <v>0</v>
      </c>
      <c r="I18">
        <f>SUMIFS(tblInventory[數量],tblInventory[SKU],tblStock[[#This Row],[SKU]],tblInventory[異動類型],"銷售")</f>
        <v>0</v>
      </c>
      <c r="J18">
        <f>SUMIFS(tblInventory[數量],tblInventory[SKU],tblStock[[#This Row],[SKU]],tblInventory[異動類型],"退貨出庫")</f>
        <v>0</v>
      </c>
      <c r="K18">
        <f>SUMIFS(tblInventory[數量],tblInventory[SKU],tblStock[[#This Row],[SKU]],tblInventory[異動類型],"贈品")+SUMIFS(tblInventory[數量],tblInventory[SKU],tblStock[[#This Row],[SKU]],tblInventory[異動類型],"樣品")</f>
        <v>0</v>
      </c>
      <c r="L18">
        <f>SUMIFS(tblInventory[數量],tblInventory[SKU],tblStock[[#This Row],[SKU]],tblInventory[異動類型],"盤虧")</f>
        <v>0</v>
      </c>
      <c r="M18">
        <f>tblStock[[#This Row],[期初]]+tblStock[[#This Row],[進貨]]+tblStock[[#This Row],[退貨入庫]]+tblStock[[#This Row],[盤盈]]-tblStock[[#This Row],[銷售]]-tblStock[[#This Row],[退貨出庫]]-tblStock[[#This Row],[贈品／樣品]]-tblStock[[#This Row],[盤虧]]</f>
        <v>0</v>
      </c>
      <c r="N18" s="6">
        <f>IF(tblStock[[#This Row],[單位成本]]="","",tblStock[[#This Row],[即時庫存]]*tblStock[[#This Row],[單位成本]])</f>
        <v>0</v>
      </c>
      <c r="O18" t="str">
        <f>IF(COUNTIF(tblInventory[SKU],tblStock[[#This Row],[SKU]])=0,"待建立期初",IF(tblStock[[#This Row],[即時庫存]]&lt;0,"負庫存",IF(tblStock[[#This Row],[即時庫存]]&lt;=tblStock[[#This Row],[補貨點]],"補貨提醒","正常")))</f>
        <v>待建立期初</v>
      </c>
      <c r="P18" s="8">
        <f>IFERROR(_xlfn.MAXIFS(tblInventory[日期],tblInventory[SKU],tblStock[[#This Row],[SKU]]),"")</f>
        <v>0</v>
      </c>
    </row>
    <row r="19" spans="1:16" ht="19.95" customHeight="1">
      <c r="A19" t="s">
        <v>479</v>
      </c>
      <c r="B19" t="s">
        <v>480</v>
      </c>
      <c r="C19" s="6">
        <v>65</v>
      </c>
      <c r="D19">
        <v>10</v>
      </c>
      <c r="E19">
        <f>SUMIFS(tblInventory[數量],tblInventory[SKU],tblStock[[#This Row],[SKU]],tblInventory[異動類型],"期初")</f>
        <v>0</v>
      </c>
      <c r="F19">
        <f>SUMIFS(tblInventory[數量],tblInventory[SKU],tblStock[[#This Row],[SKU]],tblInventory[異動類型],"進貨")</f>
        <v>0</v>
      </c>
      <c r="G19">
        <f>SUMIFS(tblInventory[數量],tblInventory[SKU],tblStock[[#This Row],[SKU]],tblInventory[異動類型],"退貨入庫")</f>
        <v>0</v>
      </c>
      <c r="H19">
        <f>SUMIFS(tblInventory[數量],tblInventory[SKU],tblStock[[#This Row],[SKU]],tblInventory[異動類型],"盤盈")</f>
        <v>0</v>
      </c>
      <c r="I19">
        <f>SUMIFS(tblInventory[數量],tblInventory[SKU],tblStock[[#This Row],[SKU]],tblInventory[異動類型],"銷售")</f>
        <v>0</v>
      </c>
      <c r="J19">
        <f>SUMIFS(tblInventory[數量],tblInventory[SKU],tblStock[[#This Row],[SKU]],tblInventory[異動類型],"退貨出庫")</f>
        <v>0</v>
      </c>
      <c r="K19">
        <f>SUMIFS(tblInventory[數量],tblInventory[SKU],tblStock[[#This Row],[SKU]],tblInventory[異動類型],"贈品")+SUMIFS(tblInventory[數量],tblInventory[SKU],tblStock[[#This Row],[SKU]],tblInventory[異動類型],"樣品")</f>
        <v>0</v>
      </c>
      <c r="L19">
        <f>SUMIFS(tblInventory[數量],tblInventory[SKU],tblStock[[#This Row],[SKU]],tblInventory[異動類型],"盤虧")</f>
        <v>0</v>
      </c>
      <c r="M19">
        <f>tblStock[[#This Row],[期初]]+tblStock[[#This Row],[進貨]]+tblStock[[#This Row],[退貨入庫]]+tblStock[[#This Row],[盤盈]]-tblStock[[#This Row],[銷售]]-tblStock[[#This Row],[退貨出庫]]-tblStock[[#This Row],[贈品／樣品]]-tblStock[[#This Row],[盤虧]]</f>
        <v>0</v>
      </c>
      <c r="N19" s="6">
        <f>IF(tblStock[[#This Row],[單位成本]]="","",tblStock[[#This Row],[即時庫存]]*tblStock[[#This Row],[單位成本]])</f>
        <v>0</v>
      </c>
      <c r="O19" t="str">
        <f>IF(COUNTIF(tblInventory[SKU],tblStock[[#This Row],[SKU]])=0,"待建立期初",IF(tblStock[[#This Row],[即時庫存]]&lt;0,"負庫存",IF(tblStock[[#This Row],[即時庫存]]&lt;=tblStock[[#This Row],[補貨點]],"補貨提醒","正常")))</f>
        <v>待建立期初</v>
      </c>
      <c r="P19" s="8">
        <f>IFERROR(_xlfn.MAXIFS(tblInventory[日期],tblInventory[SKU],tblStock[[#This Row],[SKU]]),"")</f>
        <v>0</v>
      </c>
    </row>
    <row r="20" spans="1:16" ht="19.95" customHeight="1">
      <c r="A20" t="s">
        <v>482</v>
      </c>
      <c r="B20" t="s">
        <v>483</v>
      </c>
      <c r="C20" s="6">
        <v>65</v>
      </c>
      <c r="D20">
        <v>10</v>
      </c>
      <c r="E20">
        <f>SUMIFS(tblInventory[數量],tblInventory[SKU],tblStock[[#This Row],[SKU]],tblInventory[異動類型],"期初")</f>
        <v>0</v>
      </c>
      <c r="F20">
        <f>SUMIFS(tblInventory[數量],tblInventory[SKU],tblStock[[#This Row],[SKU]],tblInventory[異動類型],"進貨")</f>
        <v>0</v>
      </c>
      <c r="G20">
        <f>SUMIFS(tblInventory[數量],tblInventory[SKU],tblStock[[#This Row],[SKU]],tblInventory[異動類型],"退貨入庫")</f>
        <v>0</v>
      </c>
      <c r="H20">
        <f>SUMIFS(tblInventory[數量],tblInventory[SKU],tblStock[[#This Row],[SKU]],tblInventory[異動類型],"盤盈")</f>
        <v>0</v>
      </c>
      <c r="I20">
        <f>SUMIFS(tblInventory[數量],tblInventory[SKU],tblStock[[#This Row],[SKU]],tblInventory[異動類型],"銷售")</f>
        <v>0</v>
      </c>
      <c r="J20">
        <f>SUMIFS(tblInventory[數量],tblInventory[SKU],tblStock[[#This Row],[SKU]],tblInventory[異動類型],"退貨出庫")</f>
        <v>0</v>
      </c>
      <c r="K20">
        <f>SUMIFS(tblInventory[數量],tblInventory[SKU],tblStock[[#This Row],[SKU]],tblInventory[異動類型],"贈品")+SUMIFS(tblInventory[數量],tblInventory[SKU],tblStock[[#This Row],[SKU]],tblInventory[異動類型],"樣品")</f>
        <v>0</v>
      </c>
      <c r="L20">
        <f>SUMIFS(tblInventory[數量],tblInventory[SKU],tblStock[[#This Row],[SKU]],tblInventory[異動類型],"盤虧")</f>
        <v>0</v>
      </c>
      <c r="M20">
        <f>tblStock[[#This Row],[期初]]+tblStock[[#This Row],[進貨]]+tblStock[[#This Row],[退貨入庫]]+tblStock[[#This Row],[盤盈]]-tblStock[[#This Row],[銷售]]-tblStock[[#This Row],[退貨出庫]]-tblStock[[#This Row],[贈品／樣品]]-tblStock[[#This Row],[盤虧]]</f>
        <v>0</v>
      </c>
      <c r="N20" s="6">
        <f>IF(tblStock[[#This Row],[單位成本]]="","",tblStock[[#This Row],[即時庫存]]*tblStock[[#This Row],[單位成本]])</f>
        <v>0</v>
      </c>
      <c r="O20" t="str">
        <f>IF(COUNTIF(tblInventory[SKU],tblStock[[#This Row],[SKU]])=0,"待建立期初",IF(tblStock[[#This Row],[即時庫存]]&lt;0,"負庫存",IF(tblStock[[#This Row],[即時庫存]]&lt;=tblStock[[#This Row],[補貨點]],"補貨提醒","正常")))</f>
        <v>待建立期初</v>
      </c>
      <c r="P20" s="8">
        <f>IFERROR(_xlfn.MAXIFS(tblInventory[日期],tblInventory[SKU],tblStock[[#This Row],[SKU]]),"")</f>
        <v>0</v>
      </c>
    </row>
    <row r="21" spans="1:16" ht="19.95" customHeight="1">
      <c r="A21" t="s">
        <v>485</v>
      </c>
      <c r="B21" t="s">
        <v>486</v>
      </c>
      <c r="C21" s="6">
        <v>65</v>
      </c>
      <c r="D21">
        <v>10</v>
      </c>
      <c r="E21">
        <f>SUMIFS(tblInventory[數量],tblInventory[SKU],tblStock[[#This Row],[SKU]],tblInventory[異動類型],"期初")</f>
        <v>0</v>
      </c>
      <c r="F21">
        <f>SUMIFS(tblInventory[數量],tblInventory[SKU],tblStock[[#This Row],[SKU]],tblInventory[異動類型],"進貨")</f>
        <v>0</v>
      </c>
      <c r="G21">
        <f>SUMIFS(tblInventory[數量],tblInventory[SKU],tblStock[[#This Row],[SKU]],tblInventory[異動類型],"退貨入庫")</f>
        <v>0</v>
      </c>
      <c r="H21">
        <f>SUMIFS(tblInventory[數量],tblInventory[SKU],tblStock[[#This Row],[SKU]],tblInventory[異動類型],"盤盈")</f>
        <v>0</v>
      </c>
      <c r="I21">
        <f>SUMIFS(tblInventory[數量],tblInventory[SKU],tblStock[[#This Row],[SKU]],tblInventory[異動類型],"銷售")</f>
        <v>0</v>
      </c>
      <c r="J21">
        <f>SUMIFS(tblInventory[數量],tblInventory[SKU],tblStock[[#This Row],[SKU]],tblInventory[異動類型],"退貨出庫")</f>
        <v>0</v>
      </c>
      <c r="K21">
        <f>SUMIFS(tblInventory[數量],tblInventory[SKU],tblStock[[#This Row],[SKU]],tblInventory[異動類型],"贈品")+SUMIFS(tblInventory[數量],tblInventory[SKU],tblStock[[#This Row],[SKU]],tblInventory[異動類型],"樣品")</f>
        <v>0</v>
      </c>
      <c r="L21">
        <f>SUMIFS(tblInventory[數量],tblInventory[SKU],tblStock[[#This Row],[SKU]],tblInventory[異動類型],"盤虧")</f>
        <v>0</v>
      </c>
      <c r="M21">
        <f>tblStock[[#This Row],[期初]]+tblStock[[#This Row],[進貨]]+tblStock[[#This Row],[退貨入庫]]+tblStock[[#This Row],[盤盈]]-tblStock[[#This Row],[銷售]]-tblStock[[#This Row],[退貨出庫]]-tblStock[[#This Row],[贈品／樣品]]-tblStock[[#This Row],[盤虧]]</f>
        <v>0</v>
      </c>
      <c r="N21" s="6">
        <f>IF(tblStock[[#This Row],[單位成本]]="","",tblStock[[#This Row],[即時庫存]]*tblStock[[#This Row],[單位成本]])</f>
        <v>0</v>
      </c>
      <c r="O21" t="str">
        <f>IF(COUNTIF(tblInventory[SKU],tblStock[[#This Row],[SKU]])=0,"待建立期初",IF(tblStock[[#This Row],[即時庫存]]&lt;0,"負庫存",IF(tblStock[[#This Row],[即時庫存]]&lt;=tblStock[[#This Row],[補貨點]],"補貨提醒","正常")))</f>
        <v>待建立期初</v>
      </c>
      <c r="P21" s="8">
        <f>IFERROR(_xlfn.MAXIFS(tblInventory[日期],tblInventory[SKU],tblStock[[#This Row],[SKU]]),"")</f>
        <v>0</v>
      </c>
    </row>
    <row r="22" spans="1:16" ht="19.95" customHeight="1">
      <c r="A22" t="s">
        <v>488</v>
      </c>
      <c r="B22" t="s">
        <v>489</v>
      </c>
      <c r="C22" s="6">
        <v>65</v>
      </c>
      <c r="D22">
        <v>10</v>
      </c>
      <c r="E22">
        <f>SUMIFS(tblInventory[數量],tblInventory[SKU],tblStock[[#This Row],[SKU]],tblInventory[異動類型],"期初")</f>
        <v>0</v>
      </c>
      <c r="F22">
        <f>SUMIFS(tblInventory[數量],tblInventory[SKU],tblStock[[#This Row],[SKU]],tblInventory[異動類型],"進貨")</f>
        <v>0</v>
      </c>
      <c r="G22">
        <f>SUMIFS(tblInventory[數量],tblInventory[SKU],tblStock[[#This Row],[SKU]],tblInventory[異動類型],"退貨入庫")</f>
        <v>0</v>
      </c>
      <c r="H22">
        <f>SUMIFS(tblInventory[數量],tblInventory[SKU],tblStock[[#This Row],[SKU]],tblInventory[異動類型],"盤盈")</f>
        <v>0</v>
      </c>
      <c r="I22">
        <f>SUMIFS(tblInventory[數量],tblInventory[SKU],tblStock[[#This Row],[SKU]],tblInventory[異動類型],"銷售")</f>
        <v>0</v>
      </c>
      <c r="J22">
        <f>SUMIFS(tblInventory[數量],tblInventory[SKU],tblStock[[#This Row],[SKU]],tblInventory[異動類型],"退貨出庫")</f>
        <v>0</v>
      </c>
      <c r="K22">
        <f>SUMIFS(tblInventory[數量],tblInventory[SKU],tblStock[[#This Row],[SKU]],tblInventory[異動類型],"贈品")+SUMIFS(tblInventory[數量],tblInventory[SKU],tblStock[[#This Row],[SKU]],tblInventory[異動類型],"樣品")</f>
        <v>0</v>
      </c>
      <c r="L22">
        <f>SUMIFS(tblInventory[數量],tblInventory[SKU],tblStock[[#This Row],[SKU]],tblInventory[異動類型],"盤虧")</f>
        <v>0</v>
      </c>
      <c r="M22">
        <f>tblStock[[#This Row],[期初]]+tblStock[[#This Row],[進貨]]+tblStock[[#This Row],[退貨入庫]]+tblStock[[#This Row],[盤盈]]-tblStock[[#This Row],[銷售]]-tblStock[[#This Row],[退貨出庫]]-tblStock[[#This Row],[贈品／樣品]]-tblStock[[#This Row],[盤虧]]</f>
        <v>0</v>
      </c>
      <c r="N22" s="6">
        <f>IF(tblStock[[#This Row],[單位成本]]="","",tblStock[[#This Row],[即時庫存]]*tblStock[[#This Row],[單位成本]])</f>
        <v>0</v>
      </c>
      <c r="O22" t="str">
        <f>IF(COUNTIF(tblInventory[SKU],tblStock[[#This Row],[SKU]])=0,"待建立期初",IF(tblStock[[#This Row],[即時庫存]]&lt;0,"負庫存",IF(tblStock[[#This Row],[即時庫存]]&lt;=tblStock[[#This Row],[補貨點]],"補貨提醒","正常")))</f>
        <v>待建立期初</v>
      </c>
      <c r="P22" s="8">
        <f>IFERROR(_xlfn.MAXIFS(tblInventory[日期],tblInventory[SKU],tblStock[[#This Row],[SKU]]),"")</f>
        <v>0</v>
      </c>
    </row>
    <row r="23" spans="1:16" ht="19.95" customHeight="1">
      <c r="A23" t="s">
        <v>492</v>
      </c>
      <c r="B23" t="s">
        <v>494</v>
      </c>
      <c r="C23" s="6">
        <v>1615</v>
      </c>
      <c r="D23">
        <v>5</v>
      </c>
      <c r="E23">
        <f>SUMIFS(tblInventory[數量],tblInventory[SKU],tblStock[[#This Row],[SKU]],tblInventory[異動類型],"期初")</f>
        <v>0</v>
      </c>
      <c r="F23">
        <f>SUMIFS(tblInventory[數量],tblInventory[SKU],tblStock[[#This Row],[SKU]],tblInventory[異動類型],"進貨")</f>
        <v>0</v>
      </c>
      <c r="G23">
        <f>SUMIFS(tblInventory[數量],tblInventory[SKU],tblStock[[#This Row],[SKU]],tblInventory[異動類型],"退貨入庫")</f>
        <v>0</v>
      </c>
      <c r="H23">
        <f>SUMIFS(tblInventory[數量],tblInventory[SKU],tblStock[[#This Row],[SKU]],tblInventory[異動類型],"盤盈")</f>
        <v>0</v>
      </c>
      <c r="I23">
        <f>SUMIFS(tblInventory[數量],tblInventory[SKU],tblStock[[#This Row],[SKU]],tblInventory[異動類型],"銷售")</f>
        <v>0</v>
      </c>
      <c r="J23">
        <f>SUMIFS(tblInventory[數量],tblInventory[SKU],tblStock[[#This Row],[SKU]],tblInventory[異動類型],"退貨出庫")</f>
        <v>0</v>
      </c>
      <c r="K23">
        <f>SUMIFS(tblInventory[數量],tblInventory[SKU],tblStock[[#This Row],[SKU]],tblInventory[異動類型],"贈品")+SUMIFS(tblInventory[數量],tblInventory[SKU],tblStock[[#This Row],[SKU]],tblInventory[異動類型],"樣品")</f>
        <v>0</v>
      </c>
      <c r="L23">
        <f>SUMIFS(tblInventory[數量],tblInventory[SKU],tblStock[[#This Row],[SKU]],tblInventory[異動類型],"盤虧")</f>
        <v>0</v>
      </c>
      <c r="M23">
        <f>tblStock[[#This Row],[期初]]+tblStock[[#This Row],[進貨]]+tblStock[[#This Row],[退貨入庫]]+tblStock[[#This Row],[盤盈]]-tblStock[[#This Row],[銷售]]-tblStock[[#This Row],[退貨出庫]]-tblStock[[#This Row],[贈品／樣品]]-tblStock[[#This Row],[盤虧]]</f>
        <v>0</v>
      </c>
      <c r="N23" s="6">
        <f>IF(tblStock[[#This Row],[單位成本]]="","",tblStock[[#This Row],[即時庫存]]*tblStock[[#This Row],[單位成本]])</f>
        <v>0</v>
      </c>
      <c r="O23" t="str">
        <f>IF(COUNTIF(tblInventory[SKU],tblStock[[#This Row],[SKU]])=0,"待建立期初",IF(tblStock[[#This Row],[即時庫存]]&lt;0,"負庫存",IF(tblStock[[#This Row],[即時庫存]]&lt;=tblStock[[#This Row],[補貨點]],"補貨提醒","正常")))</f>
        <v>待建立期初</v>
      </c>
      <c r="P23" s="8">
        <f>IFERROR(_xlfn.MAXIFS(tblInventory[日期],tblInventory[SKU],tblStock[[#This Row],[SKU]]),"")</f>
        <v>0</v>
      </c>
    </row>
  </sheetData>
  <mergeCells count="2">
    <mergeCell ref="A1:M1"/>
    <mergeCell ref="A2:M2"/>
  </mergeCells>
  <phoneticPr fontId="8" type="noConversion"/>
  <conditionalFormatting sqref="O5:O23">
    <cfRule type="containsText" dxfId="9" priority="1" operator="containsText" text="負庫存">
      <formula>NOT(ISERROR(SEARCH("負庫存",O5)))</formula>
    </cfRule>
    <cfRule type="containsText" dxfId="8" priority="2" operator="containsText" text="補貨">
      <formula>NOT(ISERROR(SEARCH("補貨",O5)))</formula>
    </cfRule>
    <cfRule type="containsText" dxfId="7" priority="3" operator="containsText" text="待建立">
      <formula>NOT(ISERROR(SEARCH("待建立",O5)))</formula>
    </cfRule>
  </conditionalFormatting>
  <pageMargins left="0.25" right="0.25" top="0.4" bottom="0.4" header="0.3" footer="0.3"/>
  <pageSetup fitToHeight="0" orientation="landscape"/>
  <headerFooter>
    <oddHeader>&amp;L希望之光 Hope Light&amp;C品牌營運管理系統&amp;R&amp;D</oddHeader>
    <oddFooter>&amp;L[Codex] 初版｜待確認資料不可直接對外&amp;R第 &amp;P / &amp;N 頁</oddFooter>
  </headerFooter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243B5A"/>
    <pageSetUpPr fitToPage="1"/>
  </sheetPr>
  <dimension ref="A1:T304"/>
  <sheetViews>
    <sheetView showGridLines="0" workbookViewId="0">
      <pane ySplit="4" topLeftCell="A5" activePane="bottomLeft" state="frozen"/>
      <selection pane="bottomLeft" sqref="A1:M1"/>
    </sheetView>
  </sheetViews>
  <sheetFormatPr defaultRowHeight="19.95" customHeight="1"/>
  <cols>
    <col min="1" max="1" width="17.75" customWidth="1"/>
    <col min="2" max="2" width="13.75" style="8" customWidth="1"/>
    <col min="3" max="3" width="15.75" customWidth="1"/>
    <col min="4" max="4" width="18.75" customWidth="1"/>
    <col min="5" max="5" width="14.75" customWidth="1"/>
    <col min="6" max="6" width="16.75" customWidth="1"/>
    <col min="7" max="7" width="18.75" customWidth="1"/>
    <col min="8" max="8" width="34.75" customWidth="1"/>
    <col min="9" max="9" width="9.75" customWidth="1"/>
    <col min="10" max="14" width="14.75" style="6" customWidth="1"/>
    <col min="15" max="16" width="13.75" customWidth="1"/>
    <col min="17" max="17" width="18.75" customWidth="1"/>
    <col min="18" max="18" width="13.75" style="8" customWidth="1"/>
    <col min="19" max="19" width="12.75" customWidth="1"/>
    <col min="20" max="20" width="40.75" customWidth="1"/>
  </cols>
  <sheetData>
    <row r="1" spans="1:20" ht="34.049999999999997" customHeight="1">
      <c r="A1" s="9" t="s">
        <v>686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2" spans="1:20" ht="31.05" customHeight="1">
      <c r="A2" s="10" t="s">
        <v>687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4" spans="1:20" ht="19.95" customHeight="1">
      <c r="A4" t="s">
        <v>688</v>
      </c>
      <c r="B4" s="8" t="s">
        <v>689</v>
      </c>
      <c r="C4" t="s">
        <v>690</v>
      </c>
      <c r="D4" t="s">
        <v>691</v>
      </c>
      <c r="E4" t="s">
        <v>692</v>
      </c>
      <c r="F4" t="s">
        <v>693</v>
      </c>
      <c r="G4" t="s">
        <v>399</v>
      </c>
      <c r="H4" t="s">
        <v>666</v>
      </c>
      <c r="I4" t="s">
        <v>668</v>
      </c>
      <c r="J4" s="6" t="s">
        <v>694</v>
      </c>
      <c r="K4" s="6" t="s">
        <v>695</v>
      </c>
      <c r="L4" s="6" t="s">
        <v>696</v>
      </c>
      <c r="M4" s="6" t="s">
        <v>697</v>
      </c>
      <c r="N4" s="6" t="s">
        <v>698</v>
      </c>
      <c r="O4" t="s">
        <v>699</v>
      </c>
      <c r="P4" t="s">
        <v>700</v>
      </c>
      <c r="Q4" t="s">
        <v>701</v>
      </c>
      <c r="R4" s="8" t="s">
        <v>702</v>
      </c>
      <c r="S4" t="s">
        <v>703</v>
      </c>
      <c r="T4" t="s">
        <v>415</v>
      </c>
    </row>
    <row r="5" spans="1:20" ht="19.95" customHeight="1">
      <c r="D5" t="str">
        <f>IFERROR(INDEX(tblCRM[姓名／稱呼],MATCH(tblSales[[#This Row],[客戶ID]],tblCRM[客戶ID],0)),"")</f>
        <v/>
      </c>
      <c r="H5" t="str">
        <f>IFERROR(INDEX(tblProducts[正式名稱],MATCH(tblSales[[#This Row],[SKU]],tblProducts[SKU],0)),"")</f>
        <v/>
      </c>
      <c r="J5" s="6" t="str">
        <f>IFERROR(INDEX(tblProducts[建議售價],MATCH(tblSales[[#This Row],[SKU]],tblProducts[SKU],0)),"")</f>
        <v/>
      </c>
      <c r="M5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6" spans="1:20" ht="19.95" customHeight="1">
      <c r="D6" t="str">
        <f>IFERROR(INDEX(tblCRM[姓名／稱呼],MATCH(tblSales[[#This Row],[客戶ID]],tblCRM[客戶ID],0)),"")</f>
        <v/>
      </c>
      <c r="H6" t="str">
        <f>IFERROR(INDEX(tblProducts[正式名稱],MATCH(tblSales[[#This Row],[SKU]],tblProducts[SKU],0)),"")</f>
        <v/>
      </c>
      <c r="J6" s="6" t="str">
        <f>IFERROR(INDEX(tblProducts[建議售價],MATCH(tblSales[[#This Row],[SKU]],tblProducts[SKU],0)),"")</f>
        <v/>
      </c>
      <c r="M6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7" spans="1:20" ht="19.95" customHeight="1">
      <c r="D7" t="str">
        <f>IFERROR(INDEX(tblCRM[姓名／稱呼],MATCH(tblSales[[#This Row],[客戶ID]],tblCRM[客戶ID],0)),"")</f>
        <v/>
      </c>
      <c r="H7" t="str">
        <f>IFERROR(INDEX(tblProducts[正式名稱],MATCH(tblSales[[#This Row],[SKU]],tblProducts[SKU],0)),"")</f>
        <v/>
      </c>
      <c r="J7" s="6" t="str">
        <f>IFERROR(INDEX(tblProducts[建議售價],MATCH(tblSales[[#This Row],[SKU]],tblProducts[SKU],0)),"")</f>
        <v/>
      </c>
      <c r="M7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8" spans="1:20" ht="19.95" customHeight="1">
      <c r="D8" t="str">
        <f>IFERROR(INDEX(tblCRM[姓名／稱呼],MATCH(tblSales[[#This Row],[客戶ID]],tblCRM[客戶ID],0)),"")</f>
        <v/>
      </c>
      <c r="H8" t="str">
        <f>IFERROR(INDEX(tblProducts[正式名稱],MATCH(tblSales[[#This Row],[SKU]],tblProducts[SKU],0)),"")</f>
        <v/>
      </c>
      <c r="J8" s="6" t="str">
        <f>IFERROR(INDEX(tblProducts[建議售價],MATCH(tblSales[[#This Row],[SKU]],tblProducts[SKU],0)),"")</f>
        <v/>
      </c>
      <c r="M8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9" spans="1:20" ht="19.95" customHeight="1">
      <c r="D9" t="str">
        <f>IFERROR(INDEX(tblCRM[姓名／稱呼],MATCH(tblSales[[#This Row],[客戶ID]],tblCRM[客戶ID],0)),"")</f>
        <v/>
      </c>
      <c r="H9" t="str">
        <f>IFERROR(INDEX(tblProducts[正式名稱],MATCH(tblSales[[#This Row],[SKU]],tblProducts[SKU],0)),"")</f>
        <v/>
      </c>
      <c r="J9" s="6" t="str">
        <f>IFERROR(INDEX(tblProducts[建議售價],MATCH(tblSales[[#This Row],[SKU]],tblProducts[SKU],0)),"")</f>
        <v/>
      </c>
      <c r="M9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10" spans="1:20" ht="19.95" customHeight="1">
      <c r="D10" t="str">
        <f>IFERROR(INDEX(tblCRM[姓名／稱呼],MATCH(tblSales[[#This Row],[客戶ID]],tblCRM[客戶ID],0)),"")</f>
        <v/>
      </c>
      <c r="H10" t="str">
        <f>IFERROR(INDEX(tblProducts[正式名稱],MATCH(tblSales[[#This Row],[SKU]],tblProducts[SKU],0)),"")</f>
        <v/>
      </c>
      <c r="J10" s="6" t="str">
        <f>IFERROR(INDEX(tblProducts[建議售價],MATCH(tblSales[[#This Row],[SKU]],tblProducts[SKU],0)),"")</f>
        <v/>
      </c>
      <c r="M10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11" spans="1:20" ht="19.95" customHeight="1">
      <c r="D11" t="str">
        <f>IFERROR(INDEX(tblCRM[姓名／稱呼],MATCH(tblSales[[#This Row],[客戶ID]],tblCRM[客戶ID],0)),"")</f>
        <v/>
      </c>
      <c r="H11" t="str">
        <f>IFERROR(INDEX(tblProducts[正式名稱],MATCH(tblSales[[#This Row],[SKU]],tblProducts[SKU],0)),"")</f>
        <v/>
      </c>
      <c r="J11" s="6" t="str">
        <f>IFERROR(INDEX(tblProducts[建議售價],MATCH(tblSales[[#This Row],[SKU]],tblProducts[SKU],0)),"")</f>
        <v/>
      </c>
      <c r="M11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12" spans="1:20" ht="19.95" customHeight="1">
      <c r="D12" t="str">
        <f>IFERROR(INDEX(tblCRM[姓名／稱呼],MATCH(tblSales[[#This Row],[客戶ID]],tblCRM[客戶ID],0)),"")</f>
        <v/>
      </c>
      <c r="H12" t="str">
        <f>IFERROR(INDEX(tblProducts[正式名稱],MATCH(tblSales[[#This Row],[SKU]],tblProducts[SKU],0)),"")</f>
        <v/>
      </c>
      <c r="J12" s="6" t="str">
        <f>IFERROR(INDEX(tblProducts[建議售價],MATCH(tblSales[[#This Row],[SKU]],tblProducts[SKU],0)),"")</f>
        <v/>
      </c>
      <c r="M12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13" spans="1:20" ht="19.95" customHeight="1">
      <c r="D13" t="str">
        <f>IFERROR(INDEX(tblCRM[姓名／稱呼],MATCH(tblSales[[#This Row],[客戶ID]],tblCRM[客戶ID],0)),"")</f>
        <v/>
      </c>
      <c r="H13" t="str">
        <f>IFERROR(INDEX(tblProducts[正式名稱],MATCH(tblSales[[#This Row],[SKU]],tblProducts[SKU],0)),"")</f>
        <v/>
      </c>
      <c r="J13" s="6" t="str">
        <f>IFERROR(INDEX(tblProducts[建議售價],MATCH(tblSales[[#This Row],[SKU]],tblProducts[SKU],0)),"")</f>
        <v/>
      </c>
      <c r="M13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14" spans="1:20" ht="19.95" customHeight="1">
      <c r="D14" t="str">
        <f>IFERROR(INDEX(tblCRM[姓名／稱呼],MATCH(tblSales[[#This Row],[客戶ID]],tblCRM[客戶ID],0)),"")</f>
        <v/>
      </c>
      <c r="H14" t="str">
        <f>IFERROR(INDEX(tblProducts[正式名稱],MATCH(tblSales[[#This Row],[SKU]],tblProducts[SKU],0)),"")</f>
        <v/>
      </c>
      <c r="J14" s="6" t="str">
        <f>IFERROR(INDEX(tblProducts[建議售價],MATCH(tblSales[[#This Row],[SKU]],tblProducts[SKU],0)),"")</f>
        <v/>
      </c>
      <c r="M14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15" spans="1:20" ht="19.95" customHeight="1">
      <c r="D15" t="str">
        <f>IFERROR(INDEX(tblCRM[姓名／稱呼],MATCH(tblSales[[#This Row],[客戶ID]],tblCRM[客戶ID],0)),"")</f>
        <v/>
      </c>
      <c r="H15" t="str">
        <f>IFERROR(INDEX(tblProducts[正式名稱],MATCH(tblSales[[#This Row],[SKU]],tblProducts[SKU],0)),"")</f>
        <v/>
      </c>
      <c r="J15" s="6" t="str">
        <f>IFERROR(INDEX(tblProducts[建議售價],MATCH(tblSales[[#This Row],[SKU]],tblProducts[SKU],0)),"")</f>
        <v/>
      </c>
      <c r="M15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16" spans="1:20" ht="19.95" customHeight="1">
      <c r="D16" t="str">
        <f>IFERROR(INDEX(tblCRM[姓名／稱呼],MATCH(tblSales[[#This Row],[客戶ID]],tblCRM[客戶ID],0)),"")</f>
        <v/>
      </c>
      <c r="H16" t="str">
        <f>IFERROR(INDEX(tblProducts[正式名稱],MATCH(tblSales[[#This Row],[SKU]],tblProducts[SKU],0)),"")</f>
        <v/>
      </c>
      <c r="J16" s="6" t="str">
        <f>IFERROR(INDEX(tblProducts[建議售價],MATCH(tblSales[[#This Row],[SKU]],tblProducts[SKU],0)),"")</f>
        <v/>
      </c>
      <c r="M16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17" spans="4:13" ht="19.95" customHeight="1">
      <c r="D17" t="str">
        <f>IFERROR(INDEX(tblCRM[姓名／稱呼],MATCH(tblSales[[#This Row],[客戶ID]],tblCRM[客戶ID],0)),"")</f>
        <v/>
      </c>
      <c r="H17" t="str">
        <f>IFERROR(INDEX(tblProducts[正式名稱],MATCH(tblSales[[#This Row],[SKU]],tblProducts[SKU],0)),"")</f>
        <v/>
      </c>
      <c r="J17" s="6" t="str">
        <f>IFERROR(INDEX(tblProducts[建議售價],MATCH(tblSales[[#This Row],[SKU]],tblProducts[SKU],0)),"")</f>
        <v/>
      </c>
      <c r="M17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18" spans="4:13" ht="19.95" customHeight="1">
      <c r="D18" t="str">
        <f>IFERROR(INDEX(tblCRM[姓名／稱呼],MATCH(tblSales[[#This Row],[客戶ID]],tblCRM[客戶ID],0)),"")</f>
        <v/>
      </c>
      <c r="H18" t="str">
        <f>IFERROR(INDEX(tblProducts[正式名稱],MATCH(tblSales[[#This Row],[SKU]],tblProducts[SKU],0)),"")</f>
        <v/>
      </c>
      <c r="J18" s="6" t="str">
        <f>IFERROR(INDEX(tblProducts[建議售價],MATCH(tblSales[[#This Row],[SKU]],tblProducts[SKU],0)),"")</f>
        <v/>
      </c>
      <c r="M18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19" spans="4:13" ht="19.95" customHeight="1">
      <c r="D19" t="str">
        <f>IFERROR(INDEX(tblCRM[姓名／稱呼],MATCH(tblSales[[#This Row],[客戶ID]],tblCRM[客戶ID],0)),"")</f>
        <v/>
      </c>
      <c r="H19" t="str">
        <f>IFERROR(INDEX(tblProducts[正式名稱],MATCH(tblSales[[#This Row],[SKU]],tblProducts[SKU],0)),"")</f>
        <v/>
      </c>
      <c r="J19" s="6" t="str">
        <f>IFERROR(INDEX(tblProducts[建議售價],MATCH(tblSales[[#This Row],[SKU]],tblProducts[SKU],0)),"")</f>
        <v/>
      </c>
      <c r="M19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20" spans="4:13" ht="19.95" customHeight="1">
      <c r="D20" t="str">
        <f>IFERROR(INDEX(tblCRM[姓名／稱呼],MATCH(tblSales[[#This Row],[客戶ID]],tblCRM[客戶ID],0)),"")</f>
        <v/>
      </c>
      <c r="H20" t="str">
        <f>IFERROR(INDEX(tblProducts[正式名稱],MATCH(tblSales[[#This Row],[SKU]],tblProducts[SKU],0)),"")</f>
        <v/>
      </c>
      <c r="J20" s="6" t="str">
        <f>IFERROR(INDEX(tblProducts[建議售價],MATCH(tblSales[[#This Row],[SKU]],tblProducts[SKU],0)),"")</f>
        <v/>
      </c>
      <c r="M20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21" spans="4:13" ht="19.95" customHeight="1">
      <c r="D21" t="str">
        <f>IFERROR(INDEX(tblCRM[姓名／稱呼],MATCH(tblSales[[#This Row],[客戶ID]],tblCRM[客戶ID],0)),"")</f>
        <v/>
      </c>
      <c r="H21" t="str">
        <f>IFERROR(INDEX(tblProducts[正式名稱],MATCH(tblSales[[#This Row],[SKU]],tblProducts[SKU],0)),"")</f>
        <v/>
      </c>
      <c r="J21" s="6" t="str">
        <f>IFERROR(INDEX(tblProducts[建議售價],MATCH(tblSales[[#This Row],[SKU]],tblProducts[SKU],0)),"")</f>
        <v/>
      </c>
      <c r="M21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22" spans="4:13" ht="19.95" customHeight="1">
      <c r="D22" t="str">
        <f>IFERROR(INDEX(tblCRM[姓名／稱呼],MATCH(tblSales[[#This Row],[客戶ID]],tblCRM[客戶ID],0)),"")</f>
        <v/>
      </c>
      <c r="H22" t="str">
        <f>IFERROR(INDEX(tblProducts[正式名稱],MATCH(tblSales[[#This Row],[SKU]],tblProducts[SKU],0)),"")</f>
        <v/>
      </c>
      <c r="J22" s="6" t="str">
        <f>IFERROR(INDEX(tblProducts[建議售價],MATCH(tblSales[[#This Row],[SKU]],tblProducts[SKU],0)),"")</f>
        <v/>
      </c>
      <c r="M22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23" spans="4:13" ht="19.95" customHeight="1">
      <c r="D23" t="str">
        <f>IFERROR(INDEX(tblCRM[姓名／稱呼],MATCH(tblSales[[#This Row],[客戶ID]],tblCRM[客戶ID],0)),"")</f>
        <v/>
      </c>
      <c r="H23" t="str">
        <f>IFERROR(INDEX(tblProducts[正式名稱],MATCH(tblSales[[#This Row],[SKU]],tblProducts[SKU],0)),"")</f>
        <v/>
      </c>
      <c r="J23" s="6" t="str">
        <f>IFERROR(INDEX(tblProducts[建議售價],MATCH(tblSales[[#This Row],[SKU]],tblProducts[SKU],0)),"")</f>
        <v/>
      </c>
      <c r="M23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24" spans="4:13" ht="19.95" customHeight="1">
      <c r="D24" t="str">
        <f>IFERROR(INDEX(tblCRM[姓名／稱呼],MATCH(tblSales[[#This Row],[客戶ID]],tblCRM[客戶ID],0)),"")</f>
        <v/>
      </c>
      <c r="H24" t="str">
        <f>IFERROR(INDEX(tblProducts[正式名稱],MATCH(tblSales[[#This Row],[SKU]],tblProducts[SKU],0)),"")</f>
        <v/>
      </c>
      <c r="J24" s="6" t="str">
        <f>IFERROR(INDEX(tblProducts[建議售價],MATCH(tblSales[[#This Row],[SKU]],tblProducts[SKU],0)),"")</f>
        <v/>
      </c>
      <c r="M24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25" spans="4:13" ht="19.95" customHeight="1">
      <c r="D25" t="str">
        <f>IFERROR(INDEX(tblCRM[姓名／稱呼],MATCH(tblSales[[#This Row],[客戶ID]],tblCRM[客戶ID],0)),"")</f>
        <v/>
      </c>
      <c r="H25" t="str">
        <f>IFERROR(INDEX(tblProducts[正式名稱],MATCH(tblSales[[#This Row],[SKU]],tblProducts[SKU],0)),"")</f>
        <v/>
      </c>
      <c r="J25" s="6" t="str">
        <f>IFERROR(INDEX(tblProducts[建議售價],MATCH(tblSales[[#This Row],[SKU]],tblProducts[SKU],0)),"")</f>
        <v/>
      </c>
      <c r="M25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26" spans="4:13" ht="19.95" customHeight="1">
      <c r="D26" t="str">
        <f>IFERROR(INDEX(tblCRM[姓名／稱呼],MATCH(tblSales[[#This Row],[客戶ID]],tblCRM[客戶ID],0)),"")</f>
        <v/>
      </c>
      <c r="H26" t="str">
        <f>IFERROR(INDEX(tblProducts[正式名稱],MATCH(tblSales[[#This Row],[SKU]],tblProducts[SKU],0)),"")</f>
        <v/>
      </c>
      <c r="J26" s="6" t="str">
        <f>IFERROR(INDEX(tblProducts[建議售價],MATCH(tblSales[[#This Row],[SKU]],tblProducts[SKU],0)),"")</f>
        <v/>
      </c>
      <c r="M26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27" spans="4:13" ht="19.95" customHeight="1">
      <c r="D27" t="str">
        <f>IFERROR(INDEX(tblCRM[姓名／稱呼],MATCH(tblSales[[#This Row],[客戶ID]],tblCRM[客戶ID],0)),"")</f>
        <v/>
      </c>
      <c r="H27" t="str">
        <f>IFERROR(INDEX(tblProducts[正式名稱],MATCH(tblSales[[#This Row],[SKU]],tblProducts[SKU],0)),"")</f>
        <v/>
      </c>
      <c r="J27" s="6" t="str">
        <f>IFERROR(INDEX(tblProducts[建議售價],MATCH(tblSales[[#This Row],[SKU]],tblProducts[SKU],0)),"")</f>
        <v/>
      </c>
      <c r="M27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28" spans="4:13" ht="19.95" customHeight="1">
      <c r="D28" t="str">
        <f>IFERROR(INDEX(tblCRM[姓名／稱呼],MATCH(tblSales[[#This Row],[客戶ID]],tblCRM[客戶ID],0)),"")</f>
        <v/>
      </c>
      <c r="H28" t="str">
        <f>IFERROR(INDEX(tblProducts[正式名稱],MATCH(tblSales[[#This Row],[SKU]],tblProducts[SKU],0)),"")</f>
        <v/>
      </c>
      <c r="J28" s="6" t="str">
        <f>IFERROR(INDEX(tblProducts[建議售價],MATCH(tblSales[[#This Row],[SKU]],tblProducts[SKU],0)),"")</f>
        <v/>
      </c>
      <c r="M28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29" spans="4:13" ht="19.95" customHeight="1">
      <c r="D29" t="str">
        <f>IFERROR(INDEX(tblCRM[姓名／稱呼],MATCH(tblSales[[#This Row],[客戶ID]],tblCRM[客戶ID],0)),"")</f>
        <v/>
      </c>
      <c r="H29" t="str">
        <f>IFERROR(INDEX(tblProducts[正式名稱],MATCH(tblSales[[#This Row],[SKU]],tblProducts[SKU],0)),"")</f>
        <v/>
      </c>
      <c r="J29" s="6" t="str">
        <f>IFERROR(INDEX(tblProducts[建議售價],MATCH(tblSales[[#This Row],[SKU]],tblProducts[SKU],0)),"")</f>
        <v/>
      </c>
      <c r="M29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30" spans="4:13" ht="19.95" customHeight="1">
      <c r="D30" t="str">
        <f>IFERROR(INDEX(tblCRM[姓名／稱呼],MATCH(tblSales[[#This Row],[客戶ID]],tblCRM[客戶ID],0)),"")</f>
        <v/>
      </c>
      <c r="H30" t="str">
        <f>IFERROR(INDEX(tblProducts[正式名稱],MATCH(tblSales[[#This Row],[SKU]],tblProducts[SKU],0)),"")</f>
        <v/>
      </c>
      <c r="J30" s="6" t="str">
        <f>IFERROR(INDEX(tblProducts[建議售價],MATCH(tblSales[[#This Row],[SKU]],tblProducts[SKU],0)),"")</f>
        <v/>
      </c>
      <c r="M30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31" spans="4:13" ht="19.95" customHeight="1">
      <c r="D31" t="str">
        <f>IFERROR(INDEX(tblCRM[姓名／稱呼],MATCH(tblSales[[#This Row],[客戶ID]],tblCRM[客戶ID],0)),"")</f>
        <v/>
      </c>
      <c r="H31" t="str">
        <f>IFERROR(INDEX(tblProducts[正式名稱],MATCH(tblSales[[#This Row],[SKU]],tblProducts[SKU],0)),"")</f>
        <v/>
      </c>
      <c r="J31" s="6" t="str">
        <f>IFERROR(INDEX(tblProducts[建議售價],MATCH(tblSales[[#This Row],[SKU]],tblProducts[SKU],0)),"")</f>
        <v/>
      </c>
      <c r="M31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32" spans="4:13" ht="19.95" customHeight="1">
      <c r="D32" t="str">
        <f>IFERROR(INDEX(tblCRM[姓名／稱呼],MATCH(tblSales[[#This Row],[客戶ID]],tblCRM[客戶ID],0)),"")</f>
        <v/>
      </c>
      <c r="H32" t="str">
        <f>IFERROR(INDEX(tblProducts[正式名稱],MATCH(tblSales[[#This Row],[SKU]],tblProducts[SKU],0)),"")</f>
        <v/>
      </c>
      <c r="J32" s="6" t="str">
        <f>IFERROR(INDEX(tblProducts[建議售價],MATCH(tblSales[[#This Row],[SKU]],tblProducts[SKU],0)),"")</f>
        <v/>
      </c>
      <c r="M32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33" spans="4:13" ht="19.95" customHeight="1">
      <c r="D33" t="str">
        <f>IFERROR(INDEX(tblCRM[姓名／稱呼],MATCH(tblSales[[#This Row],[客戶ID]],tblCRM[客戶ID],0)),"")</f>
        <v/>
      </c>
      <c r="H33" t="str">
        <f>IFERROR(INDEX(tblProducts[正式名稱],MATCH(tblSales[[#This Row],[SKU]],tblProducts[SKU],0)),"")</f>
        <v/>
      </c>
      <c r="J33" s="6" t="str">
        <f>IFERROR(INDEX(tblProducts[建議售價],MATCH(tblSales[[#This Row],[SKU]],tblProducts[SKU],0)),"")</f>
        <v/>
      </c>
      <c r="M33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34" spans="4:13" ht="19.95" customHeight="1">
      <c r="D34" t="str">
        <f>IFERROR(INDEX(tblCRM[姓名／稱呼],MATCH(tblSales[[#This Row],[客戶ID]],tblCRM[客戶ID],0)),"")</f>
        <v/>
      </c>
      <c r="H34" t="str">
        <f>IFERROR(INDEX(tblProducts[正式名稱],MATCH(tblSales[[#This Row],[SKU]],tblProducts[SKU],0)),"")</f>
        <v/>
      </c>
      <c r="J34" s="6" t="str">
        <f>IFERROR(INDEX(tblProducts[建議售價],MATCH(tblSales[[#This Row],[SKU]],tblProducts[SKU],0)),"")</f>
        <v/>
      </c>
      <c r="M34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35" spans="4:13" ht="19.95" customHeight="1">
      <c r="D35" t="str">
        <f>IFERROR(INDEX(tblCRM[姓名／稱呼],MATCH(tblSales[[#This Row],[客戶ID]],tblCRM[客戶ID],0)),"")</f>
        <v/>
      </c>
      <c r="H35" t="str">
        <f>IFERROR(INDEX(tblProducts[正式名稱],MATCH(tblSales[[#This Row],[SKU]],tblProducts[SKU],0)),"")</f>
        <v/>
      </c>
      <c r="J35" s="6" t="str">
        <f>IFERROR(INDEX(tblProducts[建議售價],MATCH(tblSales[[#This Row],[SKU]],tblProducts[SKU],0)),"")</f>
        <v/>
      </c>
      <c r="M35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36" spans="4:13" ht="19.95" customHeight="1">
      <c r="D36" t="str">
        <f>IFERROR(INDEX(tblCRM[姓名／稱呼],MATCH(tblSales[[#This Row],[客戶ID]],tblCRM[客戶ID],0)),"")</f>
        <v/>
      </c>
      <c r="H36" t="str">
        <f>IFERROR(INDEX(tblProducts[正式名稱],MATCH(tblSales[[#This Row],[SKU]],tblProducts[SKU],0)),"")</f>
        <v/>
      </c>
      <c r="J36" s="6" t="str">
        <f>IFERROR(INDEX(tblProducts[建議售價],MATCH(tblSales[[#This Row],[SKU]],tblProducts[SKU],0)),"")</f>
        <v/>
      </c>
      <c r="M36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37" spans="4:13" ht="19.95" customHeight="1">
      <c r="D37" t="str">
        <f>IFERROR(INDEX(tblCRM[姓名／稱呼],MATCH(tblSales[[#This Row],[客戶ID]],tblCRM[客戶ID],0)),"")</f>
        <v/>
      </c>
      <c r="H37" t="str">
        <f>IFERROR(INDEX(tblProducts[正式名稱],MATCH(tblSales[[#This Row],[SKU]],tblProducts[SKU],0)),"")</f>
        <v/>
      </c>
      <c r="J37" s="6" t="str">
        <f>IFERROR(INDEX(tblProducts[建議售價],MATCH(tblSales[[#This Row],[SKU]],tblProducts[SKU],0)),"")</f>
        <v/>
      </c>
      <c r="M37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38" spans="4:13" ht="19.95" customHeight="1">
      <c r="D38" t="str">
        <f>IFERROR(INDEX(tblCRM[姓名／稱呼],MATCH(tblSales[[#This Row],[客戶ID]],tblCRM[客戶ID],0)),"")</f>
        <v/>
      </c>
      <c r="H38" t="str">
        <f>IFERROR(INDEX(tblProducts[正式名稱],MATCH(tblSales[[#This Row],[SKU]],tblProducts[SKU],0)),"")</f>
        <v/>
      </c>
      <c r="J38" s="6" t="str">
        <f>IFERROR(INDEX(tblProducts[建議售價],MATCH(tblSales[[#This Row],[SKU]],tblProducts[SKU],0)),"")</f>
        <v/>
      </c>
      <c r="M38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39" spans="4:13" ht="19.95" customHeight="1">
      <c r="D39" t="str">
        <f>IFERROR(INDEX(tblCRM[姓名／稱呼],MATCH(tblSales[[#This Row],[客戶ID]],tblCRM[客戶ID],0)),"")</f>
        <v/>
      </c>
      <c r="H39" t="str">
        <f>IFERROR(INDEX(tblProducts[正式名稱],MATCH(tblSales[[#This Row],[SKU]],tblProducts[SKU],0)),"")</f>
        <v/>
      </c>
      <c r="J39" s="6" t="str">
        <f>IFERROR(INDEX(tblProducts[建議售價],MATCH(tblSales[[#This Row],[SKU]],tblProducts[SKU],0)),"")</f>
        <v/>
      </c>
      <c r="M39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40" spans="4:13" ht="19.95" customHeight="1">
      <c r="D40" t="str">
        <f>IFERROR(INDEX(tblCRM[姓名／稱呼],MATCH(tblSales[[#This Row],[客戶ID]],tblCRM[客戶ID],0)),"")</f>
        <v/>
      </c>
      <c r="H40" t="str">
        <f>IFERROR(INDEX(tblProducts[正式名稱],MATCH(tblSales[[#This Row],[SKU]],tblProducts[SKU],0)),"")</f>
        <v/>
      </c>
      <c r="J40" s="6" t="str">
        <f>IFERROR(INDEX(tblProducts[建議售價],MATCH(tblSales[[#This Row],[SKU]],tblProducts[SKU],0)),"")</f>
        <v/>
      </c>
      <c r="M40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41" spans="4:13" ht="19.95" customHeight="1">
      <c r="D41" t="str">
        <f>IFERROR(INDEX(tblCRM[姓名／稱呼],MATCH(tblSales[[#This Row],[客戶ID]],tblCRM[客戶ID],0)),"")</f>
        <v/>
      </c>
      <c r="H41" t="str">
        <f>IFERROR(INDEX(tblProducts[正式名稱],MATCH(tblSales[[#This Row],[SKU]],tblProducts[SKU],0)),"")</f>
        <v/>
      </c>
      <c r="J41" s="6" t="str">
        <f>IFERROR(INDEX(tblProducts[建議售價],MATCH(tblSales[[#This Row],[SKU]],tblProducts[SKU],0)),"")</f>
        <v/>
      </c>
      <c r="M41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42" spans="4:13" ht="19.95" customHeight="1">
      <c r="D42" t="str">
        <f>IFERROR(INDEX(tblCRM[姓名／稱呼],MATCH(tblSales[[#This Row],[客戶ID]],tblCRM[客戶ID],0)),"")</f>
        <v/>
      </c>
      <c r="H42" t="str">
        <f>IFERROR(INDEX(tblProducts[正式名稱],MATCH(tblSales[[#This Row],[SKU]],tblProducts[SKU],0)),"")</f>
        <v/>
      </c>
      <c r="J42" s="6" t="str">
        <f>IFERROR(INDEX(tblProducts[建議售價],MATCH(tblSales[[#This Row],[SKU]],tblProducts[SKU],0)),"")</f>
        <v/>
      </c>
      <c r="M42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43" spans="4:13" ht="19.95" customHeight="1">
      <c r="D43" t="str">
        <f>IFERROR(INDEX(tblCRM[姓名／稱呼],MATCH(tblSales[[#This Row],[客戶ID]],tblCRM[客戶ID],0)),"")</f>
        <v/>
      </c>
      <c r="H43" t="str">
        <f>IFERROR(INDEX(tblProducts[正式名稱],MATCH(tblSales[[#This Row],[SKU]],tblProducts[SKU],0)),"")</f>
        <v/>
      </c>
      <c r="J43" s="6" t="str">
        <f>IFERROR(INDEX(tblProducts[建議售價],MATCH(tblSales[[#This Row],[SKU]],tblProducts[SKU],0)),"")</f>
        <v/>
      </c>
      <c r="M43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44" spans="4:13" ht="19.95" customHeight="1">
      <c r="D44" t="str">
        <f>IFERROR(INDEX(tblCRM[姓名／稱呼],MATCH(tblSales[[#This Row],[客戶ID]],tblCRM[客戶ID],0)),"")</f>
        <v/>
      </c>
      <c r="H44" t="str">
        <f>IFERROR(INDEX(tblProducts[正式名稱],MATCH(tblSales[[#This Row],[SKU]],tblProducts[SKU],0)),"")</f>
        <v/>
      </c>
      <c r="J44" s="6" t="str">
        <f>IFERROR(INDEX(tblProducts[建議售價],MATCH(tblSales[[#This Row],[SKU]],tblProducts[SKU],0)),"")</f>
        <v/>
      </c>
      <c r="M44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45" spans="4:13" ht="19.95" customHeight="1">
      <c r="D45" t="str">
        <f>IFERROR(INDEX(tblCRM[姓名／稱呼],MATCH(tblSales[[#This Row],[客戶ID]],tblCRM[客戶ID],0)),"")</f>
        <v/>
      </c>
      <c r="H45" t="str">
        <f>IFERROR(INDEX(tblProducts[正式名稱],MATCH(tblSales[[#This Row],[SKU]],tblProducts[SKU],0)),"")</f>
        <v/>
      </c>
      <c r="J45" s="6" t="str">
        <f>IFERROR(INDEX(tblProducts[建議售價],MATCH(tblSales[[#This Row],[SKU]],tblProducts[SKU],0)),"")</f>
        <v/>
      </c>
      <c r="M45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46" spans="4:13" ht="19.95" customHeight="1">
      <c r="D46" t="str">
        <f>IFERROR(INDEX(tblCRM[姓名／稱呼],MATCH(tblSales[[#This Row],[客戶ID]],tblCRM[客戶ID],0)),"")</f>
        <v/>
      </c>
      <c r="H46" t="str">
        <f>IFERROR(INDEX(tblProducts[正式名稱],MATCH(tblSales[[#This Row],[SKU]],tblProducts[SKU],0)),"")</f>
        <v/>
      </c>
      <c r="J46" s="6" t="str">
        <f>IFERROR(INDEX(tblProducts[建議售價],MATCH(tblSales[[#This Row],[SKU]],tblProducts[SKU],0)),"")</f>
        <v/>
      </c>
      <c r="M46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47" spans="4:13" ht="19.95" customHeight="1">
      <c r="D47" t="str">
        <f>IFERROR(INDEX(tblCRM[姓名／稱呼],MATCH(tblSales[[#This Row],[客戶ID]],tblCRM[客戶ID],0)),"")</f>
        <v/>
      </c>
      <c r="H47" t="str">
        <f>IFERROR(INDEX(tblProducts[正式名稱],MATCH(tblSales[[#This Row],[SKU]],tblProducts[SKU],0)),"")</f>
        <v/>
      </c>
      <c r="J47" s="6" t="str">
        <f>IFERROR(INDEX(tblProducts[建議售價],MATCH(tblSales[[#This Row],[SKU]],tblProducts[SKU],0)),"")</f>
        <v/>
      </c>
      <c r="M47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48" spans="4:13" ht="19.95" customHeight="1">
      <c r="D48" t="str">
        <f>IFERROR(INDEX(tblCRM[姓名／稱呼],MATCH(tblSales[[#This Row],[客戶ID]],tblCRM[客戶ID],0)),"")</f>
        <v/>
      </c>
      <c r="H48" t="str">
        <f>IFERROR(INDEX(tblProducts[正式名稱],MATCH(tblSales[[#This Row],[SKU]],tblProducts[SKU],0)),"")</f>
        <v/>
      </c>
      <c r="J48" s="6" t="str">
        <f>IFERROR(INDEX(tblProducts[建議售價],MATCH(tblSales[[#This Row],[SKU]],tblProducts[SKU],0)),"")</f>
        <v/>
      </c>
      <c r="M48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49" spans="4:13" ht="19.95" customHeight="1">
      <c r="D49" t="str">
        <f>IFERROR(INDEX(tblCRM[姓名／稱呼],MATCH(tblSales[[#This Row],[客戶ID]],tblCRM[客戶ID],0)),"")</f>
        <v/>
      </c>
      <c r="H49" t="str">
        <f>IFERROR(INDEX(tblProducts[正式名稱],MATCH(tblSales[[#This Row],[SKU]],tblProducts[SKU],0)),"")</f>
        <v/>
      </c>
      <c r="J49" s="6" t="str">
        <f>IFERROR(INDEX(tblProducts[建議售價],MATCH(tblSales[[#This Row],[SKU]],tblProducts[SKU],0)),"")</f>
        <v/>
      </c>
      <c r="M49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50" spans="4:13" ht="19.95" customHeight="1">
      <c r="D50" t="str">
        <f>IFERROR(INDEX(tblCRM[姓名／稱呼],MATCH(tblSales[[#This Row],[客戶ID]],tblCRM[客戶ID],0)),"")</f>
        <v/>
      </c>
      <c r="H50" t="str">
        <f>IFERROR(INDEX(tblProducts[正式名稱],MATCH(tblSales[[#This Row],[SKU]],tblProducts[SKU],0)),"")</f>
        <v/>
      </c>
      <c r="J50" s="6" t="str">
        <f>IFERROR(INDEX(tblProducts[建議售價],MATCH(tblSales[[#This Row],[SKU]],tblProducts[SKU],0)),"")</f>
        <v/>
      </c>
      <c r="M50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51" spans="4:13" ht="19.95" customHeight="1">
      <c r="D51" t="str">
        <f>IFERROR(INDEX(tblCRM[姓名／稱呼],MATCH(tblSales[[#This Row],[客戶ID]],tblCRM[客戶ID],0)),"")</f>
        <v/>
      </c>
      <c r="H51" t="str">
        <f>IFERROR(INDEX(tblProducts[正式名稱],MATCH(tblSales[[#This Row],[SKU]],tblProducts[SKU],0)),"")</f>
        <v/>
      </c>
      <c r="J51" s="6" t="str">
        <f>IFERROR(INDEX(tblProducts[建議售價],MATCH(tblSales[[#This Row],[SKU]],tblProducts[SKU],0)),"")</f>
        <v/>
      </c>
      <c r="M51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52" spans="4:13" ht="19.95" customHeight="1">
      <c r="D52" t="str">
        <f>IFERROR(INDEX(tblCRM[姓名／稱呼],MATCH(tblSales[[#This Row],[客戶ID]],tblCRM[客戶ID],0)),"")</f>
        <v/>
      </c>
      <c r="H52" t="str">
        <f>IFERROR(INDEX(tblProducts[正式名稱],MATCH(tblSales[[#This Row],[SKU]],tblProducts[SKU],0)),"")</f>
        <v/>
      </c>
      <c r="J52" s="6" t="str">
        <f>IFERROR(INDEX(tblProducts[建議售價],MATCH(tblSales[[#This Row],[SKU]],tblProducts[SKU],0)),"")</f>
        <v/>
      </c>
      <c r="M52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53" spans="4:13" ht="19.95" customHeight="1">
      <c r="D53" t="str">
        <f>IFERROR(INDEX(tblCRM[姓名／稱呼],MATCH(tblSales[[#This Row],[客戶ID]],tblCRM[客戶ID],0)),"")</f>
        <v/>
      </c>
      <c r="H53" t="str">
        <f>IFERROR(INDEX(tblProducts[正式名稱],MATCH(tblSales[[#This Row],[SKU]],tblProducts[SKU],0)),"")</f>
        <v/>
      </c>
      <c r="J53" s="6" t="str">
        <f>IFERROR(INDEX(tblProducts[建議售價],MATCH(tblSales[[#This Row],[SKU]],tblProducts[SKU],0)),"")</f>
        <v/>
      </c>
      <c r="M53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54" spans="4:13" ht="19.95" customHeight="1">
      <c r="D54" t="str">
        <f>IFERROR(INDEX(tblCRM[姓名／稱呼],MATCH(tblSales[[#This Row],[客戶ID]],tblCRM[客戶ID],0)),"")</f>
        <v/>
      </c>
      <c r="H54" t="str">
        <f>IFERROR(INDEX(tblProducts[正式名稱],MATCH(tblSales[[#This Row],[SKU]],tblProducts[SKU],0)),"")</f>
        <v/>
      </c>
      <c r="J54" s="6" t="str">
        <f>IFERROR(INDEX(tblProducts[建議售價],MATCH(tblSales[[#This Row],[SKU]],tblProducts[SKU],0)),"")</f>
        <v/>
      </c>
      <c r="M54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55" spans="4:13" ht="19.95" customHeight="1">
      <c r="D55" t="str">
        <f>IFERROR(INDEX(tblCRM[姓名／稱呼],MATCH(tblSales[[#This Row],[客戶ID]],tblCRM[客戶ID],0)),"")</f>
        <v/>
      </c>
      <c r="H55" t="str">
        <f>IFERROR(INDEX(tblProducts[正式名稱],MATCH(tblSales[[#This Row],[SKU]],tblProducts[SKU],0)),"")</f>
        <v/>
      </c>
      <c r="J55" s="6" t="str">
        <f>IFERROR(INDEX(tblProducts[建議售價],MATCH(tblSales[[#This Row],[SKU]],tblProducts[SKU],0)),"")</f>
        <v/>
      </c>
      <c r="M55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56" spans="4:13" ht="19.95" customHeight="1">
      <c r="D56" t="str">
        <f>IFERROR(INDEX(tblCRM[姓名／稱呼],MATCH(tblSales[[#This Row],[客戶ID]],tblCRM[客戶ID],0)),"")</f>
        <v/>
      </c>
      <c r="H56" t="str">
        <f>IFERROR(INDEX(tblProducts[正式名稱],MATCH(tblSales[[#This Row],[SKU]],tblProducts[SKU],0)),"")</f>
        <v/>
      </c>
      <c r="J56" s="6" t="str">
        <f>IFERROR(INDEX(tblProducts[建議售價],MATCH(tblSales[[#This Row],[SKU]],tblProducts[SKU],0)),"")</f>
        <v/>
      </c>
      <c r="M56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57" spans="4:13" ht="19.95" customHeight="1">
      <c r="D57" t="str">
        <f>IFERROR(INDEX(tblCRM[姓名／稱呼],MATCH(tblSales[[#This Row],[客戶ID]],tblCRM[客戶ID],0)),"")</f>
        <v/>
      </c>
      <c r="H57" t="str">
        <f>IFERROR(INDEX(tblProducts[正式名稱],MATCH(tblSales[[#This Row],[SKU]],tblProducts[SKU],0)),"")</f>
        <v/>
      </c>
      <c r="J57" s="6" t="str">
        <f>IFERROR(INDEX(tblProducts[建議售價],MATCH(tblSales[[#This Row],[SKU]],tblProducts[SKU],0)),"")</f>
        <v/>
      </c>
      <c r="M57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58" spans="4:13" ht="19.95" customHeight="1">
      <c r="D58" t="str">
        <f>IFERROR(INDEX(tblCRM[姓名／稱呼],MATCH(tblSales[[#This Row],[客戶ID]],tblCRM[客戶ID],0)),"")</f>
        <v/>
      </c>
      <c r="H58" t="str">
        <f>IFERROR(INDEX(tblProducts[正式名稱],MATCH(tblSales[[#This Row],[SKU]],tblProducts[SKU],0)),"")</f>
        <v/>
      </c>
      <c r="J58" s="6" t="str">
        <f>IFERROR(INDEX(tblProducts[建議售價],MATCH(tblSales[[#This Row],[SKU]],tblProducts[SKU],0)),"")</f>
        <v/>
      </c>
      <c r="M58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59" spans="4:13" ht="19.95" customHeight="1">
      <c r="D59" t="str">
        <f>IFERROR(INDEX(tblCRM[姓名／稱呼],MATCH(tblSales[[#This Row],[客戶ID]],tblCRM[客戶ID],0)),"")</f>
        <v/>
      </c>
      <c r="H59" t="str">
        <f>IFERROR(INDEX(tblProducts[正式名稱],MATCH(tblSales[[#This Row],[SKU]],tblProducts[SKU],0)),"")</f>
        <v/>
      </c>
      <c r="J59" s="6" t="str">
        <f>IFERROR(INDEX(tblProducts[建議售價],MATCH(tblSales[[#This Row],[SKU]],tblProducts[SKU],0)),"")</f>
        <v/>
      </c>
      <c r="M59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60" spans="4:13" ht="19.95" customHeight="1">
      <c r="D60" t="str">
        <f>IFERROR(INDEX(tblCRM[姓名／稱呼],MATCH(tblSales[[#This Row],[客戶ID]],tblCRM[客戶ID],0)),"")</f>
        <v/>
      </c>
      <c r="H60" t="str">
        <f>IFERROR(INDEX(tblProducts[正式名稱],MATCH(tblSales[[#This Row],[SKU]],tblProducts[SKU],0)),"")</f>
        <v/>
      </c>
      <c r="J60" s="6" t="str">
        <f>IFERROR(INDEX(tblProducts[建議售價],MATCH(tblSales[[#This Row],[SKU]],tblProducts[SKU],0)),"")</f>
        <v/>
      </c>
      <c r="M60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61" spans="4:13" ht="19.95" customHeight="1">
      <c r="D61" t="str">
        <f>IFERROR(INDEX(tblCRM[姓名／稱呼],MATCH(tblSales[[#This Row],[客戶ID]],tblCRM[客戶ID],0)),"")</f>
        <v/>
      </c>
      <c r="H61" t="str">
        <f>IFERROR(INDEX(tblProducts[正式名稱],MATCH(tblSales[[#This Row],[SKU]],tblProducts[SKU],0)),"")</f>
        <v/>
      </c>
      <c r="J61" s="6" t="str">
        <f>IFERROR(INDEX(tblProducts[建議售價],MATCH(tblSales[[#This Row],[SKU]],tblProducts[SKU],0)),"")</f>
        <v/>
      </c>
      <c r="M61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62" spans="4:13" ht="19.95" customHeight="1">
      <c r="D62" t="str">
        <f>IFERROR(INDEX(tblCRM[姓名／稱呼],MATCH(tblSales[[#This Row],[客戶ID]],tblCRM[客戶ID],0)),"")</f>
        <v/>
      </c>
      <c r="H62" t="str">
        <f>IFERROR(INDEX(tblProducts[正式名稱],MATCH(tblSales[[#This Row],[SKU]],tblProducts[SKU],0)),"")</f>
        <v/>
      </c>
      <c r="J62" s="6" t="str">
        <f>IFERROR(INDEX(tblProducts[建議售價],MATCH(tblSales[[#This Row],[SKU]],tblProducts[SKU],0)),"")</f>
        <v/>
      </c>
      <c r="M62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63" spans="4:13" ht="19.95" customHeight="1">
      <c r="D63" t="str">
        <f>IFERROR(INDEX(tblCRM[姓名／稱呼],MATCH(tblSales[[#This Row],[客戶ID]],tblCRM[客戶ID],0)),"")</f>
        <v/>
      </c>
      <c r="H63" t="str">
        <f>IFERROR(INDEX(tblProducts[正式名稱],MATCH(tblSales[[#This Row],[SKU]],tblProducts[SKU],0)),"")</f>
        <v/>
      </c>
      <c r="J63" s="6" t="str">
        <f>IFERROR(INDEX(tblProducts[建議售價],MATCH(tblSales[[#This Row],[SKU]],tblProducts[SKU],0)),"")</f>
        <v/>
      </c>
      <c r="M63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64" spans="4:13" ht="19.95" customHeight="1">
      <c r="D64" t="str">
        <f>IFERROR(INDEX(tblCRM[姓名／稱呼],MATCH(tblSales[[#This Row],[客戶ID]],tblCRM[客戶ID],0)),"")</f>
        <v/>
      </c>
      <c r="H64" t="str">
        <f>IFERROR(INDEX(tblProducts[正式名稱],MATCH(tblSales[[#This Row],[SKU]],tblProducts[SKU],0)),"")</f>
        <v/>
      </c>
      <c r="J64" s="6" t="str">
        <f>IFERROR(INDEX(tblProducts[建議售價],MATCH(tblSales[[#This Row],[SKU]],tblProducts[SKU],0)),"")</f>
        <v/>
      </c>
      <c r="M64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65" spans="4:13" ht="19.95" customHeight="1">
      <c r="D65" t="str">
        <f>IFERROR(INDEX(tblCRM[姓名／稱呼],MATCH(tblSales[[#This Row],[客戶ID]],tblCRM[客戶ID],0)),"")</f>
        <v/>
      </c>
      <c r="H65" t="str">
        <f>IFERROR(INDEX(tblProducts[正式名稱],MATCH(tblSales[[#This Row],[SKU]],tblProducts[SKU],0)),"")</f>
        <v/>
      </c>
      <c r="J65" s="6" t="str">
        <f>IFERROR(INDEX(tblProducts[建議售價],MATCH(tblSales[[#This Row],[SKU]],tblProducts[SKU],0)),"")</f>
        <v/>
      </c>
      <c r="M65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66" spans="4:13" ht="19.95" customHeight="1">
      <c r="D66" t="str">
        <f>IFERROR(INDEX(tblCRM[姓名／稱呼],MATCH(tblSales[[#This Row],[客戶ID]],tblCRM[客戶ID],0)),"")</f>
        <v/>
      </c>
      <c r="H66" t="str">
        <f>IFERROR(INDEX(tblProducts[正式名稱],MATCH(tblSales[[#This Row],[SKU]],tblProducts[SKU],0)),"")</f>
        <v/>
      </c>
      <c r="J66" s="6" t="str">
        <f>IFERROR(INDEX(tblProducts[建議售價],MATCH(tblSales[[#This Row],[SKU]],tblProducts[SKU],0)),"")</f>
        <v/>
      </c>
      <c r="M66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67" spans="4:13" ht="19.95" customHeight="1">
      <c r="D67" t="str">
        <f>IFERROR(INDEX(tblCRM[姓名／稱呼],MATCH(tblSales[[#This Row],[客戶ID]],tblCRM[客戶ID],0)),"")</f>
        <v/>
      </c>
      <c r="H67" t="str">
        <f>IFERROR(INDEX(tblProducts[正式名稱],MATCH(tblSales[[#This Row],[SKU]],tblProducts[SKU],0)),"")</f>
        <v/>
      </c>
      <c r="J67" s="6" t="str">
        <f>IFERROR(INDEX(tblProducts[建議售價],MATCH(tblSales[[#This Row],[SKU]],tblProducts[SKU],0)),"")</f>
        <v/>
      </c>
      <c r="M67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68" spans="4:13" ht="19.95" customHeight="1">
      <c r="D68" t="str">
        <f>IFERROR(INDEX(tblCRM[姓名／稱呼],MATCH(tblSales[[#This Row],[客戶ID]],tblCRM[客戶ID],0)),"")</f>
        <v/>
      </c>
      <c r="H68" t="str">
        <f>IFERROR(INDEX(tblProducts[正式名稱],MATCH(tblSales[[#This Row],[SKU]],tblProducts[SKU],0)),"")</f>
        <v/>
      </c>
      <c r="J68" s="6" t="str">
        <f>IFERROR(INDEX(tblProducts[建議售價],MATCH(tblSales[[#This Row],[SKU]],tblProducts[SKU],0)),"")</f>
        <v/>
      </c>
      <c r="M68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69" spans="4:13" ht="19.95" customHeight="1">
      <c r="D69" t="str">
        <f>IFERROR(INDEX(tblCRM[姓名／稱呼],MATCH(tblSales[[#This Row],[客戶ID]],tblCRM[客戶ID],0)),"")</f>
        <v/>
      </c>
      <c r="H69" t="str">
        <f>IFERROR(INDEX(tblProducts[正式名稱],MATCH(tblSales[[#This Row],[SKU]],tblProducts[SKU],0)),"")</f>
        <v/>
      </c>
      <c r="J69" s="6" t="str">
        <f>IFERROR(INDEX(tblProducts[建議售價],MATCH(tblSales[[#This Row],[SKU]],tblProducts[SKU],0)),"")</f>
        <v/>
      </c>
      <c r="M69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70" spans="4:13" ht="19.95" customHeight="1">
      <c r="D70" t="str">
        <f>IFERROR(INDEX(tblCRM[姓名／稱呼],MATCH(tblSales[[#This Row],[客戶ID]],tblCRM[客戶ID],0)),"")</f>
        <v/>
      </c>
      <c r="H70" t="str">
        <f>IFERROR(INDEX(tblProducts[正式名稱],MATCH(tblSales[[#This Row],[SKU]],tblProducts[SKU],0)),"")</f>
        <v/>
      </c>
      <c r="J70" s="6" t="str">
        <f>IFERROR(INDEX(tblProducts[建議售價],MATCH(tblSales[[#This Row],[SKU]],tblProducts[SKU],0)),"")</f>
        <v/>
      </c>
      <c r="M70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71" spans="4:13" ht="19.95" customHeight="1">
      <c r="D71" t="str">
        <f>IFERROR(INDEX(tblCRM[姓名／稱呼],MATCH(tblSales[[#This Row],[客戶ID]],tblCRM[客戶ID],0)),"")</f>
        <v/>
      </c>
      <c r="H71" t="str">
        <f>IFERROR(INDEX(tblProducts[正式名稱],MATCH(tblSales[[#This Row],[SKU]],tblProducts[SKU],0)),"")</f>
        <v/>
      </c>
      <c r="J71" s="6" t="str">
        <f>IFERROR(INDEX(tblProducts[建議售價],MATCH(tblSales[[#This Row],[SKU]],tblProducts[SKU],0)),"")</f>
        <v/>
      </c>
      <c r="M71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72" spans="4:13" ht="19.95" customHeight="1">
      <c r="D72" t="str">
        <f>IFERROR(INDEX(tblCRM[姓名／稱呼],MATCH(tblSales[[#This Row],[客戶ID]],tblCRM[客戶ID],0)),"")</f>
        <v/>
      </c>
      <c r="H72" t="str">
        <f>IFERROR(INDEX(tblProducts[正式名稱],MATCH(tblSales[[#This Row],[SKU]],tblProducts[SKU],0)),"")</f>
        <v/>
      </c>
      <c r="J72" s="6" t="str">
        <f>IFERROR(INDEX(tblProducts[建議售價],MATCH(tblSales[[#This Row],[SKU]],tblProducts[SKU],0)),"")</f>
        <v/>
      </c>
      <c r="M72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73" spans="4:13" ht="19.95" customHeight="1">
      <c r="D73" t="str">
        <f>IFERROR(INDEX(tblCRM[姓名／稱呼],MATCH(tblSales[[#This Row],[客戶ID]],tblCRM[客戶ID],0)),"")</f>
        <v/>
      </c>
      <c r="H73" t="str">
        <f>IFERROR(INDEX(tblProducts[正式名稱],MATCH(tblSales[[#This Row],[SKU]],tblProducts[SKU],0)),"")</f>
        <v/>
      </c>
      <c r="J73" s="6" t="str">
        <f>IFERROR(INDEX(tblProducts[建議售價],MATCH(tblSales[[#This Row],[SKU]],tblProducts[SKU],0)),"")</f>
        <v/>
      </c>
      <c r="M73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74" spans="4:13" ht="19.95" customHeight="1">
      <c r="D74" t="str">
        <f>IFERROR(INDEX(tblCRM[姓名／稱呼],MATCH(tblSales[[#This Row],[客戶ID]],tblCRM[客戶ID],0)),"")</f>
        <v/>
      </c>
      <c r="H74" t="str">
        <f>IFERROR(INDEX(tblProducts[正式名稱],MATCH(tblSales[[#This Row],[SKU]],tblProducts[SKU],0)),"")</f>
        <v/>
      </c>
      <c r="J74" s="6" t="str">
        <f>IFERROR(INDEX(tblProducts[建議售價],MATCH(tblSales[[#This Row],[SKU]],tblProducts[SKU],0)),"")</f>
        <v/>
      </c>
      <c r="M74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75" spans="4:13" ht="19.95" customHeight="1">
      <c r="D75" t="str">
        <f>IFERROR(INDEX(tblCRM[姓名／稱呼],MATCH(tblSales[[#This Row],[客戶ID]],tblCRM[客戶ID],0)),"")</f>
        <v/>
      </c>
      <c r="H75" t="str">
        <f>IFERROR(INDEX(tblProducts[正式名稱],MATCH(tblSales[[#This Row],[SKU]],tblProducts[SKU],0)),"")</f>
        <v/>
      </c>
      <c r="J75" s="6" t="str">
        <f>IFERROR(INDEX(tblProducts[建議售價],MATCH(tblSales[[#This Row],[SKU]],tblProducts[SKU],0)),"")</f>
        <v/>
      </c>
      <c r="M75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76" spans="4:13" ht="19.95" customHeight="1">
      <c r="D76" t="str">
        <f>IFERROR(INDEX(tblCRM[姓名／稱呼],MATCH(tblSales[[#This Row],[客戶ID]],tblCRM[客戶ID],0)),"")</f>
        <v/>
      </c>
      <c r="H76" t="str">
        <f>IFERROR(INDEX(tblProducts[正式名稱],MATCH(tblSales[[#This Row],[SKU]],tblProducts[SKU],0)),"")</f>
        <v/>
      </c>
      <c r="J76" s="6" t="str">
        <f>IFERROR(INDEX(tblProducts[建議售價],MATCH(tblSales[[#This Row],[SKU]],tblProducts[SKU],0)),"")</f>
        <v/>
      </c>
      <c r="M76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77" spans="4:13" ht="19.95" customHeight="1">
      <c r="D77" t="str">
        <f>IFERROR(INDEX(tblCRM[姓名／稱呼],MATCH(tblSales[[#This Row],[客戶ID]],tblCRM[客戶ID],0)),"")</f>
        <v/>
      </c>
      <c r="H77" t="str">
        <f>IFERROR(INDEX(tblProducts[正式名稱],MATCH(tblSales[[#This Row],[SKU]],tblProducts[SKU],0)),"")</f>
        <v/>
      </c>
      <c r="J77" s="6" t="str">
        <f>IFERROR(INDEX(tblProducts[建議售價],MATCH(tblSales[[#This Row],[SKU]],tblProducts[SKU],0)),"")</f>
        <v/>
      </c>
      <c r="M77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78" spans="4:13" ht="19.95" customHeight="1">
      <c r="D78" t="str">
        <f>IFERROR(INDEX(tblCRM[姓名／稱呼],MATCH(tblSales[[#This Row],[客戶ID]],tblCRM[客戶ID],0)),"")</f>
        <v/>
      </c>
      <c r="H78" t="str">
        <f>IFERROR(INDEX(tblProducts[正式名稱],MATCH(tblSales[[#This Row],[SKU]],tblProducts[SKU],0)),"")</f>
        <v/>
      </c>
      <c r="J78" s="6" t="str">
        <f>IFERROR(INDEX(tblProducts[建議售價],MATCH(tblSales[[#This Row],[SKU]],tblProducts[SKU],0)),"")</f>
        <v/>
      </c>
      <c r="M78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79" spans="4:13" ht="19.95" customHeight="1">
      <c r="D79" t="str">
        <f>IFERROR(INDEX(tblCRM[姓名／稱呼],MATCH(tblSales[[#This Row],[客戶ID]],tblCRM[客戶ID],0)),"")</f>
        <v/>
      </c>
      <c r="H79" t="str">
        <f>IFERROR(INDEX(tblProducts[正式名稱],MATCH(tblSales[[#This Row],[SKU]],tblProducts[SKU],0)),"")</f>
        <v/>
      </c>
      <c r="J79" s="6" t="str">
        <f>IFERROR(INDEX(tblProducts[建議售價],MATCH(tblSales[[#This Row],[SKU]],tblProducts[SKU],0)),"")</f>
        <v/>
      </c>
      <c r="M79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80" spans="4:13" ht="19.95" customHeight="1">
      <c r="D80" t="str">
        <f>IFERROR(INDEX(tblCRM[姓名／稱呼],MATCH(tblSales[[#This Row],[客戶ID]],tblCRM[客戶ID],0)),"")</f>
        <v/>
      </c>
      <c r="H80" t="str">
        <f>IFERROR(INDEX(tblProducts[正式名稱],MATCH(tblSales[[#This Row],[SKU]],tblProducts[SKU],0)),"")</f>
        <v/>
      </c>
      <c r="J80" s="6" t="str">
        <f>IFERROR(INDEX(tblProducts[建議售價],MATCH(tblSales[[#This Row],[SKU]],tblProducts[SKU],0)),"")</f>
        <v/>
      </c>
      <c r="M80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81" spans="4:13" ht="19.95" customHeight="1">
      <c r="D81" t="str">
        <f>IFERROR(INDEX(tblCRM[姓名／稱呼],MATCH(tblSales[[#This Row],[客戶ID]],tblCRM[客戶ID],0)),"")</f>
        <v/>
      </c>
      <c r="H81" t="str">
        <f>IFERROR(INDEX(tblProducts[正式名稱],MATCH(tblSales[[#This Row],[SKU]],tblProducts[SKU],0)),"")</f>
        <v/>
      </c>
      <c r="J81" s="6" t="str">
        <f>IFERROR(INDEX(tblProducts[建議售價],MATCH(tblSales[[#This Row],[SKU]],tblProducts[SKU],0)),"")</f>
        <v/>
      </c>
      <c r="M81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82" spans="4:13" ht="19.95" customHeight="1">
      <c r="D82" t="str">
        <f>IFERROR(INDEX(tblCRM[姓名／稱呼],MATCH(tblSales[[#This Row],[客戶ID]],tblCRM[客戶ID],0)),"")</f>
        <v/>
      </c>
      <c r="H82" t="str">
        <f>IFERROR(INDEX(tblProducts[正式名稱],MATCH(tblSales[[#This Row],[SKU]],tblProducts[SKU],0)),"")</f>
        <v/>
      </c>
      <c r="J82" s="6" t="str">
        <f>IFERROR(INDEX(tblProducts[建議售價],MATCH(tblSales[[#This Row],[SKU]],tblProducts[SKU],0)),"")</f>
        <v/>
      </c>
      <c r="M82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83" spans="4:13" ht="19.95" customHeight="1">
      <c r="D83" t="str">
        <f>IFERROR(INDEX(tblCRM[姓名／稱呼],MATCH(tblSales[[#This Row],[客戶ID]],tblCRM[客戶ID],0)),"")</f>
        <v/>
      </c>
      <c r="H83" t="str">
        <f>IFERROR(INDEX(tblProducts[正式名稱],MATCH(tblSales[[#This Row],[SKU]],tblProducts[SKU],0)),"")</f>
        <v/>
      </c>
      <c r="J83" s="6" t="str">
        <f>IFERROR(INDEX(tblProducts[建議售價],MATCH(tblSales[[#This Row],[SKU]],tblProducts[SKU],0)),"")</f>
        <v/>
      </c>
      <c r="M83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84" spans="4:13" ht="19.95" customHeight="1">
      <c r="D84" t="str">
        <f>IFERROR(INDEX(tblCRM[姓名／稱呼],MATCH(tblSales[[#This Row],[客戶ID]],tblCRM[客戶ID],0)),"")</f>
        <v/>
      </c>
      <c r="H84" t="str">
        <f>IFERROR(INDEX(tblProducts[正式名稱],MATCH(tblSales[[#This Row],[SKU]],tblProducts[SKU],0)),"")</f>
        <v/>
      </c>
      <c r="J84" s="6" t="str">
        <f>IFERROR(INDEX(tblProducts[建議售價],MATCH(tblSales[[#This Row],[SKU]],tblProducts[SKU],0)),"")</f>
        <v/>
      </c>
      <c r="M84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85" spans="4:13" ht="19.95" customHeight="1">
      <c r="D85" t="str">
        <f>IFERROR(INDEX(tblCRM[姓名／稱呼],MATCH(tblSales[[#This Row],[客戶ID]],tblCRM[客戶ID],0)),"")</f>
        <v/>
      </c>
      <c r="H85" t="str">
        <f>IFERROR(INDEX(tblProducts[正式名稱],MATCH(tblSales[[#This Row],[SKU]],tblProducts[SKU],0)),"")</f>
        <v/>
      </c>
      <c r="J85" s="6" t="str">
        <f>IFERROR(INDEX(tblProducts[建議售價],MATCH(tblSales[[#This Row],[SKU]],tblProducts[SKU],0)),"")</f>
        <v/>
      </c>
      <c r="M85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86" spans="4:13" ht="19.95" customHeight="1">
      <c r="D86" t="str">
        <f>IFERROR(INDEX(tblCRM[姓名／稱呼],MATCH(tblSales[[#This Row],[客戶ID]],tblCRM[客戶ID],0)),"")</f>
        <v/>
      </c>
      <c r="H86" t="str">
        <f>IFERROR(INDEX(tblProducts[正式名稱],MATCH(tblSales[[#This Row],[SKU]],tblProducts[SKU],0)),"")</f>
        <v/>
      </c>
      <c r="J86" s="6" t="str">
        <f>IFERROR(INDEX(tblProducts[建議售價],MATCH(tblSales[[#This Row],[SKU]],tblProducts[SKU],0)),"")</f>
        <v/>
      </c>
      <c r="M86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87" spans="4:13" ht="19.95" customHeight="1">
      <c r="D87" t="str">
        <f>IFERROR(INDEX(tblCRM[姓名／稱呼],MATCH(tblSales[[#This Row],[客戶ID]],tblCRM[客戶ID],0)),"")</f>
        <v/>
      </c>
      <c r="H87" t="str">
        <f>IFERROR(INDEX(tblProducts[正式名稱],MATCH(tblSales[[#This Row],[SKU]],tblProducts[SKU],0)),"")</f>
        <v/>
      </c>
      <c r="J87" s="6" t="str">
        <f>IFERROR(INDEX(tblProducts[建議售價],MATCH(tblSales[[#This Row],[SKU]],tblProducts[SKU],0)),"")</f>
        <v/>
      </c>
      <c r="M87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88" spans="4:13" ht="19.95" customHeight="1">
      <c r="D88" t="str">
        <f>IFERROR(INDEX(tblCRM[姓名／稱呼],MATCH(tblSales[[#This Row],[客戶ID]],tblCRM[客戶ID],0)),"")</f>
        <v/>
      </c>
      <c r="H88" t="str">
        <f>IFERROR(INDEX(tblProducts[正式名稱],MATCH(tblSales[[#This Row],[SKU]],tblProducts[SKU],0)),"")</f>
        <v/>
      </c>
      <c r="J88" s="6" t="str">
        <f>IFERROR(INDEX(tblProducts[建議售價],MATCH(tblSales[[#This Row],[SKU]],tblProducts[SKU],0)),"")</f>
        <v/>
      </c>
      <c r="M88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89" spans="4:13" ht="19.95" customHeight="1">
      <c r="D89" t="str">
        <f>IFERROR(INDEX(tblCRM[姓名／稱呼],MATCH(tblSales[[#This Row],[客戶ID]],tblCRM[客戶ID],0)),"")</f>
        <v/>
      </c>
      <c r="H89" t="str">
        <f>IFERROR(INDEX(tblProducts[正式名稱],MATCH(tblSales[[#This Row],[SKU]],tblProducts[SKU],0)),"")</f>
        <v/>
      </c>
      <c r="J89" s="6" t="str">
        <f>IFERROR(INDEX(tblProducts[建議售價],MATCH(tblSales[[#This Row],[SKU]],tblProducts[SKU],0)),"")</f>
        <v/>
      </c>
      <c r="M89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90" spans="4:13" ht="19.95" customHeight="1">
      <c r="D90" t="str">
        <f>IFERROR(INDEX(tblCRM[姓名／稱呼],MATCH(tblSales[[#This Row],[客戶ID]],tblCRM[客戶ID],0)),"")</f>
        <v/>
      </c>
      <c r="H90" t="str">
        <f>IFERROR(INDEX(tblProducts[正式名稱],MATCH(tblSales[[#This Row],[SKU]],tblProducts[SKU],0)),"")</f>
        <v/>
      </c>
      <c r="J90" s="6" t="str">
        <f>IFERROR(INDEX(tblProducts[建議售價],MATCH(tblSales[[#This Row],[SKU]],tblProducts[SKU],0)),"")</f>
        <v/>
      </c>
      <c r="M90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91" spans="4:13" ht="19.95" customHeight="1">
      <c r="D91" t="str">
        <f>IFERROR(INDEX(tblCRM[姓名／稱呼],MATCH(tblSales[[#This Row],[客戶ID]],tblCRM[客戶ID],0)),"")</f>
        <v/>
      </c>
      <c r="H91" t="str">
        <f>IFERROR(INDEX(tblProducts[正式名稱],MATCH(tblSales[[#This Row],[SKU]],tblProducts[SKU],0)),"")</f>
        <v/>
      </c>
      <c r="J91" s="6" t="str">
        <f>IFERROR(INDEX(tblProducts[建議售價],MATCH(tblSales[[#This Row],[SKU]],tblProducts[SKU],0)),"")</f>
        <v/>
      </c>
      <c r="M91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92" spans="4:13" ht="19.95" customHeight="1">
      <c r="D92" t="str">
        <f>IFERROR(INDEX(tblCRM[姓名／稱呼],MATCH(tblSales[[#This Row],[客戶ID]],tblCRM[客戶ID],0)),"")</f>
        <v/>
      </c>
      <c r="H92" t="str">
        <f>IFERROR(INDEX(tblProducts[正式名稱],MATCH(tblSales[[#This Row],[SKU]],tblProducts[SKU],0)),"")</f>
        <v/>
      </c>
      <c r="J92" s="6" t="str">
        <f>IFERROR(INDEX(tblProducts[建議售價],MATCH(tblSales[[#This Row],[SKU]],tblProducts[SKU],0)),"")</f>
        <v/>
      </c>
      <c r="M92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93" spans="4:13" ht="19.95" customHeight="1">
      <c r="D93" t="str">
        <f>IFERROR(INDEX(tblCRM[姓名／稱呼],MATCH(tblSales[[#This Row],[客戶ID]],tblCRM[客戶ID],0)),"")</f>
        <v/>
      </c>
      <c r="H93" t="str">
        <f>IFERROR(INDEX(tblProducts[正式名稱],MATCH(tblSales[[#This Row],[SKU]],tblProducts[SKU],0)),"")</f>
        <v/>
      </c>
      <c r="J93" s="6" t="str">
        <f>IFERROR(INDEX(tblProducts[建議售價],MATCH(tblSales[[#This Row],[SKU]],tblProducts[SKU],0)),"")</f>
        <v/>
      </c>
      <c r="M93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94" spans="4:13" ht="19.95" customHeight="1">
      <c r="D94" t="str">
        <f>IFERROR(INDEX(tblCRM[姓名／稱呼],MATCH(tblSales[[#This Row],[客戶ID]],tblCRM[客戶ID],0)),"")</f>
        <v/>
      </c>
      <c r="H94" t="str">
        <f>IFERROR(INDEX(tblProducts[正式名稱],MATCH(tblSales[[#This Row],[SKU]],tblProducts[SKU],0)),"")</f>
        <v/>
      </c>
      <c r="J94" s="6" t="str">
        <f>IFERROR(INDEX(tblProducts[建議售價],MATCH(tblSales[[#This Row],[SKU]],tblProducts[SKU],0)),"")</f>
        <v/>
      </c>
      <c r="M94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95" spans="4:13" ht="19.95" customHeight="1">
      <c r="D95" t="str">
        <f>IFERROR(INDEX(tblCRM[姓名／稱呼],MATCH(tblSales[[#This Row],[客戶ID]],tblCRM[客戶ID],0)),"")</f>
        <v/>
      </c>
      <c r="H95" t="str">
        <f>IFERROR(INDEX(tblProducts[正式名稱],MATCH(tblSales[[#This Row],[SKU]],tblProducts[SKU],0)),"")</f>
        <v/>
      </c>
      <c r="J95" s="6" t="str">
        <f>IFERROR(INDEX(tblProducts[建議售價],MATCH(tblSales[[#This Row],[SKU]],tblProducts[SKU],0)),"")</f>
        <v/>
      </c>
      <c r="M95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96" spans="4:13" ht="19.95" customHeight="1">
      <c r="D96" t="str">
        <f>IFERROR(INDEX(tblCRM[姓名／稱呼],MATCH(tblSales[[#This Row],[客戶ID]],tblCRM[客戶ID],0)),"")</f>
        <v/>
      </c>
      <c r="H96" t="str">
        <f>IFERROR(INDEX(tblProducts[正式名稱],MATCH(tblSales[[#This Row],[SKU]],tblProducts[SKU],0)),"")</f>
        <v/>
      </c>
      <c r="J96" s="6" t="str">
        <f>IFERROR(INDEX(tblProducts[建議售價],MATCH(tblSales[[#This Row],[SKU]],tblProducts[SKU],0)),"")</f>
        <v/>
      </c>
      <c r="M96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97" spans="4:13" ht="19.95" customHeight="1">
      <c r="D97" t="str">
        <f>IFERROR(INDEX(tblCRM[姓名／稱呼],MATCH(tblSales[[#This Row],[客戶ID]],tblCRM[客戶ID],0)),"")</f>
        <v/>
      </c>
      <c r="H97" t="str">
        <f>IFERROR(INDEX(tblProducts[正式名稱],MATCH(tblSales[[#This Row],[SKU]],tblProducts[SKU],0)),"")</f>
        <v/>
      </c>
      <c r="J97" s="6" t="str">
        <f>IFERROR(INDEX(tblProducts[建議售價],MATCH(tblSales[[#This Row],[SKU]],tblProducts[SKU],0)),"")</f>
        <v/>
      </c>
      <c r="M97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98" spans="4:13" ht="19.95" customHeight="1">
      <c r="D98" t="str">
        <f>IFERROR(INDEX(tblCRM[姓名／稱呼],MATCH(tblSales[[#This Row],[客戶ID]],tblCRM[客戶ID],0)),"")</f>
        <v/>
      </c>
      <c r="H98" t="str">
        <f>IFERROR(INDEX(tblProducts[正式名稱],MATCH(tblSales[[#This Row],[SKU]],tblProducts[SKU],0)),"")</f>
        <v/>
      </c>
      <c r="J98" s="6" t="str">
        <f>IFERROR(INDEX(tblProducts[建議售價],MATCH(tblSales[[#This Row],[SKU]],tblProducts[SKU],0)),"")</f>
        <v/>
      </c>
      <c r="M98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99" spans="4:13" ht="19.95" customHeight="1">
      <c r="D99" t="str">
        <f>IFERROR(INDEX(tblCRM[姓名／稱呼],MATCH(tblSales[[#This Row],[客戶ID]],tblCRM[客戶ID],0)),"")</f>
        <v/>
      </c>
      <c r="H99" t="str">
        <f>IFERROR(INDEX(tblProducts[正式名稱],MATCH(tblSales[[#This Row],[SKU]],tblProducts[SKU],0)),"")</f>
        <v/>
      </c>
      <c r="J99" s="6" t="str">
        <f>IFERROR(INDEX(tblProducts[建議售價],MATCH(tblSales[[#This Row],[SKU]],tblProducts[SKU],0)),"")</f>
        <v/>
      </c>
      <c r="M99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100" spans="4:13" ht="19.95" customHeight="1">
      <c r="D100" t="str">
        <f>IFERROR(INDEX(tblCRM[姓名／稱呼],MATCH(tblSales[[#This Row],[客戶ID]],tblCRM[客戶ID],0)),"")</f>
        <v/>
      </c>
      <c r="H100" t="str">
        <f>IFERROR(INDEX(tblProducts[正式名稱],MATCH(tblSales[[#This Row],[SKU]],tblProducts[SKU],0)),"")</f>
        <v/>
      </c>
      <c r="J100" s="6" t="str">
        <f>IFERROR(INDEX(tblProducts[建議售價],MATCH(tblSales[[#This Row],[SKU]],tblProducts[SKU],0)),"")</f>
        <v/>
      </c>
      <c r="M100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101" spans="4:13" ht="19.95" customHeight="1">
      <c r="D101" t="str">
        <f>IFERROR(INDEX(tblCRM[姓名／稱呼],MATCH(tblSales[[#This Row],[客戶ID]],tblCRM[客戶ID],0)),"")</f>
        <v/>
      </c>
      <c r="H101" t="str">
        <f>IFERROR(INDEX(tblProducts[正式名稱],MATCH(tblSales[[#This Row],[SKU]],tblProducts[SKU],0)),"")</f>
        <v/>
      </c>
      <c r="J101" s="6" t="str">
        <f>IFERROR(INDEX(tblProducts[建議售價],MATCH(tblSales[[#This Row],[SKU]],tblProducts[SKU],0)),"")</f>
        <v/>
      </c>
      <c r="M101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102" spans="4:13" ht="19.95" customHeight="1">
      <c r="D102" t="str">
        <f>IFERROR(INDEX(tblCRM[姓名／稱呼],MATCH(tblSales[[#This Row],[客戶ID]],tblCRM[客戶ID],0)),"")</f>
        <v/>
      </c>
      <c r="H102" t="str">
        <f>IFERROR(INDEX(tblProducts[正式名稱],MATCH(tblSales[[#This Row],[SKU]],tblProducts[SKU],0)),"")</f>
        <v/>
      </c>
      <c r="J102" s="6" t="str">
        <f>IFERROR(INDEX(tblProducts[建議售價],MATCH(tblSales[[#This Row],[SKU]],tblProducts[SKU],0)),"")</f>
        <v/>
      </c>
      <c r="M102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103" spans="4:13" ht="19.95" customHeight="1">
      <c r="D103" t="str">
        <f>IFERROR(INDEX(tblCRM[姓名／稱呼],MATCH(tblSales[[#This Row],[客戶ID]],tblCRM[客戶ID],0)),"")</f>
        <v/>
      </c>
      <c r="H103" t="str">
        <f>IFERROR(INDEX(tblProducts[正式名稱],MATCH(tblSales[[#This Row],[SKU]],tblProducts[SKU],0)),"")</f>
        <v/>
      </c>
      <c r="J103" s="6" t="str">
        <f>IFERROR(INDEX(tblProducts[建議售價],MATCH(tblSales[[#This Row],[SKU]],tblProducts[SKU],0)),"")</f>
        <v/>
      </c>
      <c r="M103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104" spans="4:13" ht="19.95" customHeight="1">
      <c r="D104" t="str">
        <f>IFERROR(INDEX(tblCRM[姓名／稱呼],MATCH(tblSales[[#This Row],[客戶ID]],tblCRM[客戶ID],0)),"")</f>
        <v/>
      </c>
      <c r="H104" t="str">
        <f>IFERROR(INDEX(tblProducts[正式名稱],MATCH(tblSales[[#This Row],[SKU]],tblProducts[SKU],0)),"")</f>
        <v/>
      </c>
      <c r="J104" s="6" t="str">
        <f>IFERROR(INDEX(tblProducts[建議售價],MATCH(tblSales[[#This Row],[SKU]],tblProducts[SKU],0)),"")</f>
        <v/>
      </c>
      <c r="M104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105" spans="4:13" ht="19.95" customHeight="1">
      <c r="D105" t="str">
        <f>IFERROR(INDEX(tblCRM[姓名／稱呼],MATCH(tblSales[[#This Row],[客戶ID]],tblCRM[客戶ID],0)),"")</f>
        <v/>
      </c>
      <c r="H105" t="str">
        <f>IFERROR(INDEX(tblProducts[正式名稱],MATCH(tblSales[[#This Row],[SKU]],tblProducts[SKU],0)),"")</f>
        <v/>
      </c>
      <c r="J105" s="6" t="str">
        <f>IFERROR(INDEX(tblProducts[建議售價],MATCH(tblSales[[#This Row],[SKU]],tblProducts[SKU],0)),"")</f>
        <v/>
      </c>
      <c r="M105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106" spans="4:13" ht="19.95" customHeight="1">
      <c r="D106" t="str">
        <f>IFERROR(INDEX(tblCRM[姓名／稱呼],MATCH(tblSales[[#This Row],[客戶ID]],tblCRM[客戶ID],0)),"")</f>
        <v/>
      </c>
      <c r="H106" t="str">
        <f>IFERROR(INDEX(tblProducts[正式名稱],MATCH(tblSales[[#This Row],[SKU]],tblProducts[SKU],0)),"")</f>
        <v/>
      </c>
      <c r="J106" s="6" t="str">
        <f>IFERROR(INDEX(tblProducts[建議售價],MATCH(tblSales[[#This Row],[SKU]],tblProducts[SKU],0)),"")</f>
        <v/>
      </c>
      <c r="M106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107" spans="4:13" ht="19.95" customHeight="1">
      <c r="D107" t="str">
        <f>IFERROR(INDEX(tblCRM[姓名／稱呼],MATCH(tblSales[[#This Row],[客戶ID]],tblCRM[客戶ID],0)),"")</f>
        <v/>
      </c>
      <c r="H107" t="str">
        <f>IFERROR(INDEX(tblProducts[正式名稱],MATCH(tblSales[[#This Row],[SKU]],tblProducts[SKU],0)),"")</f>
        <v/>
      </c>
      <c r="J107" s="6" t="str">
        <f>IFERROR(INDEX(tblProducts[建議售價],MATCH(tblSales[[#This Row],[SKU]],tblProducts[SKU],0)),"")</f>
        <v/>
      </c>
      <c r="M107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108" spans="4:13" ht="19.95" customHeight="1">
      <c r="D108" t="str">
        <f>IFERROR(INDEX(tblCRM[姓名／稱呼],MATCH(tblSales[[#This Row],[客戶ID]],tblCRM[客戶ID],0)),"")</f>
        <v/>
      </c>
      <c r="H108" t="str">
        <f>IFERROR(INDEX(tblProducts[正式名稱],MATCH(tblSales[[#This Row],[SKU]],tblProducts[SKU],0)),"")</f>
        <v/>
      </c>
      <c r="J108" s="6" t="str">
        <f>IFERROR(INDEX(tblProducts[建議售價],MATCH(tblSales[[#This Row],[SKU]],tblProducts[SKU],0)),"")</f>
        <v/>
      </c>
      <c r="M108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109" spans="4:13" ht="19.95" customHeight="1">
      <c r="D109" t="str">
        <f>IFERROR(INDEX(tblCRM[姓名／稱呼],MATCH(tblSales[[#This Row],[客戶ID]],tblCRM[客戶ID],0)),"")</f>
        <v/>
      </c>
      <c r="H109" t="str">
        <f>IFERROR(INDEX(tblProducts[正式名稱],MATCH(tblSales[[#This Row],[SKU]],tblProducts[SKU],0)),"")</f>
        <v/>
      </c>
      <c r="J109" s="6" t="str">
        <f>IFERROR(INDEX(tblProducts[建議售價],MATCH(tblSales[[#This Row],[SKU]],tblProducts[SKU],0)),"")</f>
        <v/>
      </c>
      <c r="M109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110" spans="4:13" ht="19.95" customHeight="1">
      <c r="D110" t="str">
        <f>IFERROR(INDEX(tblCRM[姓名／稱呼],MATCH(tblSales[[#This Row],[客戶ID]],tblCRM[客戶ID],0)),"")</f>
        <v/>
      </c>
      <c r="H110" t="str">
        <f>IFERROR(INDEX(tblProducts[正式名稱],MATCH(tblSales[[#This Row],[SKU]],tblProducts[SKU],0)),"")</f>
        <v/>
      </c>
      <c r="J110" s="6" t="str">
        <f>IFERROR(INDEX(tblProducts[建議售價],MATCH(tblSales[[#This Row],[SKU]],tblProducts[SKU],0)),"")</f>
        <v/>
      </c>
      <c r="M110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111" spans="4:13" ht="19.95" customHeight="1">
      <c r="D111" t="str">
        <f>IFERROR(INDEX(tblCRM[姓名／稱呼],MATCH(tblSales[[#This Row],[客戶ID]],tblCRM[客戶ID],0)),"")</f>
        <v/>
      </c>
      <c r="H111" t="str">
        <f>IFERROR(INDEX(tblProducts[正式名稱],MATCH(tblSales[[#This Row],[SKU]],tblProducts[SKU],0)),"")</f>
        <v/>
      </c>
      <c r="J111" s="6" t="str">
        <f>IFERROR(INDEX(tblProducts[建議售價],MATCH(tblSales[[#This Row],[SKU]],tblProducts[SKU],0)),"")</f>
        <v/>
      </c>
      <c r="M111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112" spans="4:13" ht="19.95" customHeight="1">
      <c r="D112" t="str">
        <f>IFERROR(INDEX(tblCRM[姓名／稱呼],MATCH(tblSales[[#This Row],[客戶ID]],tblCRM[客戶ID],0)),"")</f>
        <v/>
      </c>
      <c r="H112" t="str">
        <f>IFERROR(INDEX(tblProducts[正式名稱],MATCH(tblSales[[#This Row],[SKU]],tblProducts[SKU],0)),"")</f>
        <v/>
      </c>
      <c r="J112" s="6" t="str">
        <f>IFERROR(INDEX(tblProducts[建議售價],MATCH(tblSales[[#This Row],[SKU]],tblProducts[SKU],0)),"")</f>
        <v/>
      </c>
      <c r="M112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113" spans="4:13" ht="19.95" customHeight="1">
      <c r="D113" t="str">
        <f>IFERROR(INDEX(tblCRM[姓名／稱呼],MATCH(tblSales[[#This Row],[客戶ID]],tblCRM[客戶ID],0)),"")</f>
        <v/>
      </c>
      <c r="H113" t="str">
        <f>IFERROR(INDEX(tblProducts[正式名稱],MATCH(tblSales[[#This Row],[SKU]],tblProducts[SKU],0)),"")</f>
        <v/>
      </c>
      <c r="J113" s="6" t="str">
        <f>IFERROR(INDEX(tblProducts[建議售價],MATCH(tblSales[[#This Row],[SKU]],tblProducts[SKU],0)),"")</f>
        <v/>
      </c>
      <c r="M113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114" spans="4:13" ht="19.95" customHeight="1">
      <c r="D114" t="str">
        <f>IFERROR(INDEX(tblCRM[姓名／稱呼],MATCH(tblSales[[#This Row],[客戶ID]],tblCRM[客戶ID],0)),"")</f>
        <v/>
      </c>
      <c r="H114" t="str">
        <f>IFERROR(INDEX(tblProducts[正式名稱],MATCH(tblSales[[#This Row],[SKU]],tblProducts[SKU],0)),"")</f>
        <v/>
      </c>
      <c r="J114" s="6" t="str">
        <f>IFERROR(INDEX(tblProducts[建議售價],MATCH(tblSales[[#This Row],[SKU]],tblProducts[SKU],0)),"")</f>
        <v/>
      </c>
      <c r="M114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115" spans="4:13" ht="19.95" customHeight="1">
      <c r="D115" t="str">
        <f>IFERROR(INDEX(tblCRM[姓名／稱呼],MATCH(tblSales[[#This Row],[客戶ID]],tblCRM[客戶ID],0)),"")</f>
        <v/>
      </c>
      <c r="H115" t="str">
        <f>IFERROR(INDEX(tblProducts[正式名稱],MATCH(tblSales[[#This Row],[SKU]],tblProducts[SKU],0)),"")</f>
        <v/>
      </c>
      <c r="J115" s="6" t="str">
        <f>IFERROR(INDEX(tblProducts[建議售價],MATCH(tblSales[[#This Row],[SKU]],tblProducts[SKU],0)),"")</f>
        <v/>
      </c>
      <c r="M115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116" spans="4:13" ht="19.95" customHeight="1">
      <c r="D116" t="str">
        <f>IFERROR(INDEX(tblCRM[姓名／稱呼],MATCH(tblSales[[#This Row],[客戶ID]],tblCRM[客戶ID],0)),"")</f>
        <v/>
      </c>
      <c r="H116" t="str">
        <f>IFERROR(INDEX(tblProducts[正式名稱],MATCH(tblSales[[#This Row],[SKU]],tblProducts[SKU],0)),"")</f>
        <v/>
      </c>
      <c r="J116" s="6" t="str">
        <f>IFERROR(INDEX(tblProducts[建議售價],MATCH(tblSales[[#This Row],[SKU]],tblProducts[SKU],0)),"")</f>
        <v/>
      </c>
      <c r="M116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117" spans="4:13" ht="19.95" customHeight="1">
      <c r="D117" t="str">
        <f>IFERROR(INDEX(tblCRM[姓名／稱呼],MATCH(tblSales[[#This Row],[客戶ID]],tblCRM[客戶ID],0)),"")</f>
        <v/>
      </c>
      <c r="H117" t="str">
        <f>IFERROR(INDEX(tblProducts[正式名稱],MATCH(tblSales[[#This Row],[SKU]],tblProducts[SKU],0)),"")</f>
        <v/>
      </c>
      <c r="J117" s="6" t="str">
        <f>IFERROR(INDEX(tblProducts[建議售價],MATCH(tblSales[[#This Row],[SKU]],tblProducts[SKU],0)),"")</f>
        <v/>
      </c>
      <c r="M117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118" spans="4:13" ht="19.95" customHeight="1">
      <c r="D118" t="str">
        <f>IFERROR(INDEX(tblCRM[姓名／稱呼],MATCH(tblSales[[#This Row],[客戶ID]],tblCRM[客戶ID],0)),"")</f>
        <v/>
      </c>
      <c r="H118" t="str">
        <f>IFERROR(INDEX(tblProducts[正式名稱],MATCH(tblSales[[#This Row],[SKU]],tblProducts[SKU],0)),"")</f>
        <v/>
      </c>
      <c r="J118" s="6" t="str">
        <f>IFERROR(INDEX(tblProducts[建議售價],MATCH(tblSales[[#This Row],[SKU]],tblProducts[SKU],0)),"")</f>
        <v/>
      </c>
      <c r="M118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119" spans="4:13" ht="19.95" customHeight="1">
      <c r="D119" t="str">
        <f>IFERROR(INDEX(tblCRM[姓名／稱呼],MATCH(tblSales[[#This Row],[客戶ID]],tblCRM[客戶ID],0)),"")</f>
        <v/>
      </c>
      <c r="H119" t="str">
        <f>IFERROR(INDEX(tblProducts[正式名稱],MATCH(tblSales[[#This Row],[SKU]],tblProducts[SKU],0)),"")</f>
        <v/>
      </c>
      <c r="J119" s="6" t="str">
        <f>IFERROR(INDEX(tblProducts[建議售價],MATCH(tblSales[[#This Row],[SKU]],tblProducts[SKU],0)),"")</f>
        <v/>
      </c>
      <c r="M119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120" spans="4:13" ht="19.95" customHeight="1">
      <c r="D120" t="str">
        <f>IFERROR(INDEX(tblCRM[姓名／稱呼],MATCH(tblSales[[#This Row],[客戶ID]],tblCRM[客戶ID],0)),"")</f>
        <v/>
      </c>
      <c r="H120" t="str">
        <f>IFERROR(INDEX(tblProducts[正式名稱],MATCH(tblSales[[#This Row],[SKU]],tblProducts[SKU],0)),"")</f>
        <v/>
      </c>
      <c r="J120" s="6" t="str">
        <f>IFERROR(INDEX(tblProducts[建議售價],MATCH(tblSales[[#This Row],[SKU]],tblProducts[SKU],0)),"")</f>
        <v/>
      </c>
      <c r="M120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121" spans="4:13" ht="19.95" customHeight="1">
      <c r="D121" t="str">
        <f>IFERROR(INDEX(tblCRM[姓名／稱呼],MATCH(tblSales[[#This Row],[客戶ID]],tblCRM[客戶ID],0)),"")</f>
        <v/>
      </c>
      <c r="H121" t="str">
        <f>IFERROR(INDEX(tblProducts[正式名稱],MATCH(tblSales[[#This Row],[SKU]],tblProducts[SKU],0)),"")</f>
        <v/>
      </c>
      <c r="J121" s="6" t="str">
        <f>IFERROR(INDEX(tblProducts[建議售價],MATCH(tblSales[[#This Row],[SKU]],tblProducts[SKU],0)),"")</f>
        <v/>
      </c>
      <c r="M121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122" spans="4:13" ht="19.95" customHeight="1">
      <c r="D122" t="str">
        <f>IFERROR(INDEX(tblCRM[姓名／稱呼],MATCH(tblSales[[#This Row],[客戶ID]],tblCRM[客戶ID],0)),"")</f>
        <v/>
      </c>
      <c r="H122" t="str">
        <f>IFERROR(INDEX(tblProducts[正式名稱],MATCH(tblSales[[#This Row],[SKU]],tblProducts[SKU],0)),"")</f>
        <v/>
      </c>
      <c r="J122" s="6" t="str">
        <f>IFERROR(INDEX(tblProducts[建議售價],MATCH(tblSales[[#This Row],[SKU]],tblProducts[SKU],0)),"")</f>
        <v/>
      </c>
      <c r="M122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123" spans="4:13" ht="19.95" customHeight="1">
      <c r="D123" t="str">
        <f>IFERROR(INDEX(tblCRM[姓名／稱呼],MATCH(tblSales[[#This Row],[客戶ID]],tblCRM[客戶ID],0)),"")</f>
        <v/>
      </c>
      <c r="H123" t="str">
        <f>IFERROR(INDEX(tblProducts[正式名稱],MATCH(tblSales[[#This Row],[SKU]],tblProducts[SKU],0)),"")</f>
        <v/>
      </c>
      <c r="J123" s="6" t="str">
        <f>IFERROR(INDEX(tblProducts[建議售價],MATCH(tblSales[[#This Row],[SKU]],tblProducts[SKU],0)),"")</f>
        <v/>
      </c>
      <c r="M123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124" spans="4:13" ht="19.95" customHeight="1">
      <c r="D124" t="str">
        <f>IFERROR(INDEX(tblCRM[姓名／稱呼],MATCH(tblSales[[#This Row],[客戶ID]],tblCRM[客戶ID],0)),"")</f>
        <v/>
      </c>
      <c r="H124" t="str">
        <f>IFERROR(INDEX(tblProducts[正式名稱],MATCH(tblSales[[#This Row],[SKU]],tblProducts[SKU],0)),"")</f>
        <v/>
      </c>
      <c r="J124" s="6" t="str">
        <f>IFERROR(INDEX(tblProducts[建議售價],MATCH(tblSales[[#This Row],[SKU]],tblProducts[SKU],0)),"")</f>
        <v/>
      </c>
      <c r="M124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125" spans="4:13" ht="19.95" customHeight="1">
      <c r="D125" t="str">
        <f>IFERROR(INDEX(tblCRM[姓名／稱呼],MATCH(tblSales[[#This Row],[客戶ID]],tblCRM[客戶ID],0)),"")</f>
        <v/>
      </c>
      <c r="H125" t="str">
        <f>IFERROR(INDEX(tblProducts[正式名稱],MATCH(tblSales[[#This Row],[SKU]],tblProducts[SKU],0)),"")</f>
        <v/>
      </c>
      <c r="J125" s="6" t="str">
        <f>IFERROR(INDEX(tblProducts[建議售價],MATCH(tblSales[[#This Row],[SKU]],tblProducts[SKU],0)),"")</f>
        <v/>
      </c>
      <c r="M125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126" spans="4:13" ht="19.95" customHeight="1">
      <c r="D126" t="str">
        <f>IFERROR(INDEX(tblCRM[姓名／稱呼],MATCH(tblSales[[#This Row],[客戶ID]],tblCRM[客戶ID],0)),"")</f>
        <v/>
      </c>
      <c r="H126" t="str">
        <f>IFERROR(INDEX(tblProducts[正式名稱],MATCH(tblSales[[#This Row],[SKU]],tblProducts[SKU],0)),"")</f>
        <v/>
      </c>
      <c r="J126" s="6" t="str">
        <f>IFERROR(INDEX(tblProducts[建議售價],MATCH(tblSales[[#This Row],[SKU]],tblProducts[SKU],0)),"")</f>
        <v/>
      </c>
      <c r="M126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127" spans="4:13" ht="19.95" customHeight="1">
      <c r="D127" t="str">
        <f>IFERROR(INDEX(tblCRM[姓名／稱呼],MATCH(tblSales[[#This Row],[客戶ID]],tblCRM[客戶ID],0)),"")</f>
        <v/>
      </c>
      <c r="H127" t="str">
        <f>IFERROR(INDEX(tblProducts[正式名稱],MATCH(tblSales[[#This Row],[SKU]],tblProducts[SKU],0)),"")</f>
        <v/>
      </c>
      <c r="J127" s="6" t="str">
        <f>IFERROR(INDEX(tblProducts[建議售價],MATCH(tblSales[[#This Row],[SKU]],tblProducts[SKU],0)),"")</f>
        <v/>
      </c>
      <c r="M127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128" spans="4:13" ht="19.95" customHeight="1">
      <c r="D128" t="str">
        <f>IFERROR(INDEX(tblCRM[姓名／稱呼],MATCH(tblSales[[#This Row],[客戶ID]],tblCRM[客戶ID],0)),"")</f>
        <v/>
      </c>
      <c r="H128" t="str">
        <f>IFERROR(INDEX(tblProducts[正式名稱],MATCH(tblSales[[#This Row],[SKU]],tblProducts[SKU],0)),"")</f>
        <v/>
      </c>
      <c r="J128" s="6" t="str">
        <f>IFERROR(INDEX(tblProducts[建議售價],MATCH(tblSales[[#This Row],[SKU]],tblProducts[SKU],0)),"")</f>
        <v/>
      </c>
      <c r="M128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129" spans="4:13" ht="19.95" customHeight="1">
      <c r="D129" t="str">
        <f>IFERROR(INDEX(tblCRM[姓名／稱呼],MATCH(tblSales[[#This Row],[客戶ID]],tblCRM[客戶ID],0)),"")</f>
        <v/>
      </c>
      <c r="H129" t="str">
        <f>IFERROR(INDEX(tblProducts[正式名稱],MATCH(tblSales[[#This Row],[SKU]],tblProducts[SKU],0)),"")</f>
        <v/>
      </c>
      <c r="J129" s="6" t="str">
        <f>IFERROR(INDEX(tblProducts[建議售價],MATCH(tblSales[[#This Row],[SKU]],tblProducts[SKU],0)),"")</f>
        <v/>
      </c>
      <c r="M129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130" spans="4:13" ht="19.95" customHeight="1">
      <c r="D130" t="str">
        <f>IFERROR(INDEX(tblCRM[姓名／稱呼],MATCH(tblSales[[#This Row],[客戶ID]],tblCRM[客戶ID],0)),"")</f>
        <v/>
      </c>
      <c r="H130" t="str">
        <f>IFERROR(INDEX(tblProducts[正式名稱],MATCH(tblSales[[#This Row],[SKU]],tblProducts[SKU],0)),"")</f>
        <v/>
      </c>
      <c r="J130" s="6" t="str">
        <f>IFERROR(INDEX(tblProducts[建議售價],MATCH(tblSales[[#This Row],[SKU]],tblProducts[SKU],0)),"")</f>
        <v/>
      </c>
      <c r="M130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131" spans="4:13" ht="19.95" customHeight="1">
      <c r="D131" t="str">
        <f>IFERROR(INDEX(tblCRM[姓名／稱呼],MATCH(tblSales[[#This Row],[客戶ID]],tblCRM[客戶ID],0)),"")</f>
        <v/>
      </c>
      <c r="H131" t="str">
        <f>IFERROR(INDEX(tblProducts[正式名稱],MATCH(tblSales[[#This Row],[SKU]],tblProducts[SKU],0)),"")</f>
        <v/>
      </c>
      <c r="J131" s="6" t="str">
        <f>IFERROR(INDEX(tblProducts[建議售價],MATCH(tblSales[[#This Row],[SKU]],tblProducts[SKU],0)),"")</f>
        <v/>
      </c>
      <c r="M131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132" spans="4:13" ht="19.95" customHeight="1">
      <c r="D132" t="str">
        <f>IFERROR(INDEX(tblCRM[姓名／稱呼],MATCH(tblSales[[#This Row],[客戶ID]],tblCRM[客戶ID],0)),"")</f>
        <v/>
      </c>
      <c r="H132" t="str">
        <f>IFERROR(INDEX(tblProducts[正式名稱],MATCH(tblSales[[#This Row],[SKU]],tblProducts[SKU],0)),"")</f>
        <v/>
      </c>
      <c r="J132" s="6" t="str">
        <f>IFERROR(INDEX(tblProducts[建議售價],MATCH(tblSales[[#This Row],[SKU]],tblProducts[SKU],0)),"")</f>
        <v/>
      </c>
      <c r="M132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133" spans="4:13" ht="19.95" customHeight="1">
      <c r="D133" t="str">
        <f>IFERROR(INDEX(tblCRM[姓名／稱呼],MATCH(tblSales[[#This Row],[客戶ID]],tblCRM[客戶ID],0)),"")</f>
        <v/>
      </c>
      <c r="H133" t="str">
        <f>IFERROR(INDEX(tblProducts[正式名稱],MATCH(tblSales[[#This Row],[SKU]],tblProducts[SKU],0)),"")</f>
        <v/>
      </c>
      <c r="J133" s="6" t="str">
        <f>IFERROR(INDEX(tblProducts[建議售價],MATCH(tblSales[[#This Row],[SKU]],tblProducts[SKU],0)),"")</f>
        <v/>
      </c>
      <c r="M133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134" spans="4:13" ht="19.95" customHeight="1">
      <c r="D134" t="str">
        <f>IFERROR(INDEX(tblCRM[姓名／稱呼],MATCH(tblSales[[#This Row],[客戶ID]],tblCRM[客戶ID],0)),"")</f>
        <v/>
      </c>
      <c r="H134" t="str">
        <f>IFERROR(INDEX(tblProducts[正式名稱],MATCH(tblSales[[#This Row],[SKU]],tblProducts[SKU],0)),"")</f>
        <v/>
      </c>
      <c r="J134" s="6" t="str">
        <f>IFERROR(INDEX(tblProducts[建議售價],MATCH(tblSales[[#This Row],[SKU]],tblProducts[SKU],0)),"")</f>
        <v/>
      </c>
      <c r="M134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135" spans="4:13" ht="19.95" customHeight="1">
      <c r="D135" t="str">
        <f>IFERROR(INDEX(tblCRM[姓名／稱呼],MATCH(tblSales[[#This Row],[客戶ID]],tblCRM[客戶ID],0)),"")</f>
        <v/>
      </c>
      <c r="H135" t="str">
        <f>IFERROR(INDEX(tblProducts[正式名稱],MATCH(tblSales[[#This Row],[SKU]],tblProducts[SKU],0)),"")</f>
        <v/>
      </c>
      <c r="J135" s="6" t="str">
        <f>IFERROR(INDEX(tblProducts[建議售價],MATCH(tblSales[[#This Row],[SKU]],tblProducts[SKU],0)),"")</f>
        <v/>
      </c>
      <c r="M135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136" spans="4:13" ht="19.95" customHeight="1">
      <c r="D136" t="str">
        <f>IFERROR(INDEX(tblCRM[姓名／稱呼],MATCH(tblSales[[#This Row],[客戶ID]],tblCRM[客戶ID],0)),"")</f>
        <v/>
      </c>
      <c r="H136" t="str">
        <f>IFERROR(INDEX(tblProducts[正式名稱],MATCH(tblSales[[#This Row],[SKU]],tblProducts[SKU],0)),"")</f>
        <v/>
      </c>
      <c r="J136" s="6" t="str">
        <f>IFERROR(INDEX(tblProducts[建議售價],MATCH(tblSales[[#This Row],[SKU]],tblProducts[SKU],0)),"")</f>
        <v/>
      </c>
      <c r="M136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137" spans="4:13" ht="19.95" customHeight="1">
      <c r="D137" t="str">
        <f>IFERROR(INDEX(tblCRM[姓名／稱呼],MATCH(tblSales[[#This Row],[客戶ID]],tblCRM[客戶ID],0)),"")</f>
        <v/>
      </c>
      <c r="H137" t="str">
        <f>IFERROR(INDEX(tblProducts[正式名稱],MATCH(tblSales[[#This Row],[SKU]],tblProducts[SKU],0)),"")</f>
        <v/>
      </c>
      <c r="J137" s="6" t="str">
        <f>IFERROR(INDEX(tblProducts[建議售價],MATCH(tblSales[[#This Row],[SKU]],tblProducts[SKU],0)),"")</f>
        <v/>
      </c>
      <c r="M137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138" spans="4:13" ht="19.95" customHeight="1">
      <c r="D138" t="str">
        <f>IFERROR(INDEX(tblCRM[姓名／稱呼],MATCH(tblSales[[#This Row],[客戶ID]],tblCRM[客戶ID],0)),"")</f>
        <v/>
      </c>
      <c r="H138" t="str">
        <f>IFERROR(INDEX(tblProducts[正式名稱],MATCH(tblSales[[#This Row],[SKU]],tblProducts[SKU],0)),"")</f>
        <v/>
      </c>
      <c r="J138" s="6" t="str">
        <f>IFERROR(INDEX(tblProducts[建議售價],MATCH(tblSales[[#This Row],[SKU]],tblProducts[SKU],0)),"")</f>
        <v/>
      </c>
      <c r="M138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139" spans="4:13" ht="19.95" customHeight="1">
      <c r="D139" t="str">
        <f>IFERROR(INDEX(tblCRM[姓名／稱呼],MATCH(tblSales[[#This Row],[客戶ID]],tblCRM[客戶ID],0)),"")</f>
        <v/>
      </c>
      <c r="H139" t="str">
        <f>IFERROR(INDEX(tblProducts[正式名稱],MATCH(tblSales[[#This Row],[SKU]],tblProducts[SKU],0)),"")</f>
        <v/>
      </c>
      <c r="J139" s="6" t="str">
        <f>IFERROR(INDEX(tblProducts[建議售價],MATCH(tblSales[[#This Row],[SKU]],tblProducts[SKU],0)),"")</f>
        <v/>
      </c>
      <c r="M139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140" spans="4:13" ht="19.95" customHeight="1">
      <c r="D140" t="str">
        <f>IFERROR(INDEX(tblCRM[姓名／稱呼],MATCH(tblSales[[#This Row],[客戶ID]],tblCRM[客戶ID],0)),"")</f>
        <v/>
      </c>
      <c r="H140" t="str">
        <f>IFERROR(INDEX(tblProducts[正式名稱],MATCH(tblSales[[#This Row],[SKU]],tblProducts[SKU],0)),"")</f>
        <v/>
      </c>
      <c r="J140" s="6" t="str">
        <f>IFERROR(INDEX(tblProducts[建議售價],MATCH(tblSales[[#This Row],[SKU]],tblProducts[SKU],0)),"")</f>
        <v/>
      </c>
      <c r="M140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141" spans="4:13" ht="19.95" customHeight="1">
      <c r="D141" t="str">
        <f>IFERROR(INDEX(tblCRM[姓名／稱呼],MATCH(tblSales[[#This Row],[客戶ID]],tblCRM[客戶ID],0)),"")</f>
        <v/>
      </c>
      <c r="H141" t="str">
        <f>IFERROR(INDEX(tblProducts[正式名稱],MATCH(tblSales[[#This Row],[SKU]],tblProducts[SKU],0)),"")</f>
        <v/>
      </c>
      <c r="J141" s="6" t="str">
        <f>IFERROR(INDEX(tblProducts[建議售價],MATCH(tblSales[[#This Row],[SKU]],tblProducts[SKU],0)),"")</f>
        <v/>
      </c>
      <c r="M141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142" spans="4:13" ht="19.95" customHeight="1">
      <c r="D142" t="str">
        <f>IFERROR(INDEX(tblCRM[姓名／稱呼],MATCH(tblSales[[#This Row],[客戶ID]],tblCRM[客戶ID],0)),"")</f>
        <v/>
      </c>
      <c r="H142" t="str">
        <f>IFERROR(INDEX(tblProducts[正式名稱],MATCH(tblSales[[#This Row],[SKU]],tblProducts[SKU],0)),"")</f>
        <v/>
      </c>
      <c r="J142" s="6" t="str">
        <f>IFERROR(INDEX(tblProducts[建議售價],MATCH(tblSales[[#This Row],[SKU]],tblProducts[SKU],0)),"")</f>
        <v/>
      </c>
      <c r="M142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143" spans="4:13" ht="19.95" customHeight="1">
      <c r="D143" t="str">
        <f>IFERROR(INDEX(tblCRM[姓名／稱呼],MATCH(tblSales[[#This Row],[客戶ID]],tblCRM[客戶ID],0)),"")</f>
        <v/>
      </c>
      <c r="H143" t="str">
        <f>IFERROR(INDEX(tblProducts[正式名稱],MATCH(tblSales[[#This Row],[SKU]],tblProducts[SKU],0)),"")</f>
        <v/>
      </c>
      <c r="J143" s="6" t="str">
        <f>IFERROR(INDEX(tblProducts[建議售價],MATCH(tblSales[[#This Row],[SKU]],tblProducts[SKU],0)),"")</f>
        <v/>
      </c>
      <c r="M143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144" spans="4:13" ht="19.95" customHeight="1">
      <c r="D144" t="str">
        <f>IFERROR(INDEX(tblCRM[姓名／稱呼],MATCH(tblSales[[#This Row],[客戶ID]],tblCRM[客戶ID],0)),"")</f>
        <v/>
      </c>
      <c r="H144" t="str">
        <f>IFERROR(INDEX(tblProducts[正式名稱],MATCH(tblSales[[#This Row],[SKU]],tblProducts[SKU],0)),"")</f>
        <v/>
      </c>
      <c r="J144" s="6" t="str">
        <f>IFERROR(INDEX(tblProducts[建議售價],MATCH(tblSales[[#This Row],[SKU]],tblProducts[SKU],0)),"")</f>
        <v/>
      </c>
      <c r="M144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145" spans="4:13" ht="19.95" customHeight="1">
      <c r="D145" t="str">
        <f>IFERROR(INDEX(tblCRM[姓名／稱呼],MATCH(tblSales[[#This Row],[客戶ID]],tblCRM[客戶ID],0)),"")</f>
        <v/>
      </c>
      <c r="H145" t="str">
        <f>IFERROR(INDEX(tblProducts[正式名稱],MATCH(tblSales[[#This Row],[SKU]],tblProducts[SKU],0)),"")</f>
        <v/>
      </c>
      <c r="J145" s="6" t="str">
        <f>IFERROR(INDEX(tblProducts[建議售價],MATCH(tblSales[[#This Row],[SKU]],tblProducts[SKU],0)),"")</f>
        <v/>
      </c>
      <c r="M145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146" spans="4:13" ht="19.95" customHeight="1">
      <c r="D146" t="str">
        <f>IFERROR(INDEX(tblCRM[姓名／稱呼],MATCH(tblSales[[#This Row],[客戶ID]],tblCRM[客戶ID],0)),"")</f>
        <v/>
      </c>
      <c r="H146" t="str">
        <f>IFERROR(INDEX(tblProducts[正式名稱],MATCH(tblSales[[#This Row],[SKU]],tblProducts[SKU],0)),"")</f>
        <v/>
      </c>
      <c r="J146" s="6" t="str">
        <f>IFERROR(INDEX(tblProducts[建議售價],MATCH(tblSales[[#This Row],[SKU]],tblProducts[SKU],0)),"")</f>
        <v/>
      </c>
      <c r="M146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147" spans="4:13" ht="19.95" customHeight="1">
      <c r="D147" t="str">
        <f>IFERROR(INDEX(tblCRM[姓名／稱呼],MATCH(tblSales[[#This Row],[客戶ID]],tblCRM[客戶ID],0)),"")</f>
        <v/>
      </c>
      <c r="H147" t="str">
        <f>IFERROR(INDEX(tblProducts[正式名稱],MATCH(tblSales[[#This Row],[SKU]],tblProducts[SKU],0)),"")</f>
        <v/>
      </c>
      <c r="J147" s="6" t="str">
        <f>IFERROR(INDEX(tblProducts[建議售價],MATCH(tblSales[[#This Row],[SKU]],tblProducts[SKU],0)),"")</f>
        <v/>
      </c>
      <c r="M147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148" spans="4:13" ht="19.95" customHeight="1">
      <c r="D148" t="str">
        <f>IFERROR(INDEX(tblCRM[姓名／稱呼],MATCH(tblSales[[#This Row],[客戶ID]],tblCRM[客戶ID],0)),"")</f>
        <v/>
      </c>
      <c r="H148" t="str">
        <f>IFERROR(INDEX(tblProducts[正式名稱],MATCH(tblSales[[#This Row],[SKU]],tblProducts[SKU],0)),"")</f>
        <v/>
      </c>
      <c r="J148" s="6" t="str">
        <f>IFERROR(INDEX(tblProducts[建議售價],MATCH(tblSales[[#This Row],[SKU]],tblProducts[SKU],0)),"")</f>
        <v/>
      </c>
      <c r="M148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149" spans="4:13" ht="19.95" customHeight="1">
      <c r="D149" t="str">
        <f>IFERROR(INDEX(tblCRM[姓名／稱呼],MATCH(tblSales[[#This Row],[客戶ID]],tblCRM[客戶ID],0)),"")</f>
        <v/>
      </c>
      <c r="H149" t="str">
        <f>IFERROR(INDEX(tblProducts[正式名稱],MATCH(tblSales[[#This Row],[SKU]],tblProducts[SKU],0)),"")</f>
        <v/>
      </c>
      <c r="J149" s="6" t="str">
        <f>IFERROR(INDEX(tblProducts[建議售價],MATCH(tblSales[[#This Row],[SKU]],tblProducts[SKU],0)),"")</f>
        <v/>
      </c>
      <c r="M149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150" spans="4:13" ht="19.95" customHeight="1">
      <c r="D150" t="str">
        <f>IFERROR(INDEX(tblCRM[姓名／稱呼],MATCH(tblSales[[#This Row],[客戶ID]],tblCRM[客戶ID],0)),"")</f>
        <v/>
      </c>
      <c r="H150" t="str">
        <f>IFERROR(INDEX(tblProducts[正式名稱],MATCH(tblSales[[#This Row],[SKU]],tblProducts[SKU],0)),"")</f>
        <v/>
      </c>
      <c r="J150" s="6" t="str">
        <f>IFERROR(INDEX(tblProducts[建議售價],MATCH(tblSales[[#This Row],[SKU]],tblProducts[SKU],0)),"")</f>
        <v/>
      </c>
      <c r="M150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151" spans="4:13" ht="19.95" customHeight="1">
      <c r="D151" t="str">
        <f>IFERROR(INDEX(tblCRM[姓名／稱呼],MATCH(tblSales[[#This Row],[客戶ID]],tblCRM[客戶ID],0)),"")</f>
        <v/>
      </c>
      <c r="H151" t="str">
        <f>IFERROR(INDEX(tblProducts[正式名稱],MATCH(tblSales[[#This Row],[SKU]],tblProducts[SKU],0)),"")</f>
        <v/>
      </c>
      <c r="J151" s="6" t="str">
        <f>IFERROR(INDEX(tblProducts[建議售價],MATCH(tblSales[[#This Row],[SKU]],tblProducts[SKU],0)),"")</f>
        <v/>
      </c>
      <c r="M151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152" spans="4:13" ht="19.95" customHeight="1">
      <c r="D152" t="str">
        <f>IFERROR(INDEX(tblCRM[姓名／稱呼],MATCH(tblSales[[#This Row],[客戶ID]],tblCRM[客戶ID],0)),"")</f>
        <v/>
      </c>
      <c r="H152" t="str">
        <f>IFERROR(INDEX(tblProducts[正式名稱],MATCH(tblSales[[#This Row],[SKU]],tblProducts[SKU],0)),"")</f>
        <v/>
      </c>
      <c r="J152" s="6" t="str">
        <f>IFERROR(INDEX(tblProducts[建議售價],MATCH(tblSales[[#This Row],[SKU]],tblProducts[SKU],0)),"")</f>
        <v/>
      </c>
      <c r="M152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153" spans="4:13" ht="19.95" customHeight="1">
      <c r="D153" t="str">
        <f>IFERROR(INDEX(tblCRM[姓名／稱呼],MATCH(tblSales[[#This Row],[客戶ID]],tblCRM[客戶ID],0)),"")</f>
        <v/>
      </c>
      <c r="H153" t="str">
        <f>IFERROR(INDEX(tblProducts[正式名稱],MATCH(tblSales[[#This Row],[SKU]],tblProducts[SKU],0)),"")</f>
        <v/>
      </c>
      <c r="J153" s="6" t="str">
        <f>IFERROR(INDEX(tblProducts[建議售價],MATCH(tblSales[[#This Row],[SKU]],tblProducts[SKU],0)),"")</f>
        <v/>
      </c>
      <c r="M153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154" spans="4:13" ht="19.95" customHeight="1">
      <c r="D154" t="str">
        <f>IFERROR(INDEX(tblCRM[姓名／稱呼],MATCH(tblSales[[#This Row],[客戶ID]],tblCRM[客戶ID],0)),"")</f>
        <v/>
      </c>
      <c r="H154" t="str">
        <f>IFERROR(INDEX(tblProducts[正式名稱],MATCH(tblSales[[#This Row],[SKU]],tblProducts[SKU],0)),"")</f>
        <v/>
      </c>
      <c r="J154" s="6" t="str">
        <f>IFERROR(INDEX(tblProducts[建議售價],MATCH(tblSales[[#This Row],[SKU]],tblProducts[SKU],0)),"")</f>
        <v/>
      </c>
      <c r="M154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155" spans="4:13" ht="19.95" customHeight="1">
      <c r="D155" t="str">
        <f>IFERROR(INDEX(tblCRM[姓名／稱呼],MATCH(tblSales[[#This Row],[客戶ID]],tblCRM[客戶ID],0)),"")</f>
        <v/>
      </c>
      <c r="H155" t="str">
        <f>IFERROR(INDEX(tblProducts[正式名稱],MATCH(tblSales[[#This Row],[SKU]],tblProducts[SKU],0)),"")</f>
        <v/>
      </c>
      <c r="J155" s="6" t="str">
        <f>IFERROR(INDEX(tblProducts[建議售價],MATCH(tblSales[[#This Row],[SKU]],tblProducts[SKU],0)),"")</f>
        <v/>
      </c>
      <c r="M155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156" spans="4:13" ht="19.95" customHeight="1">
      <c r="D156" t="str">
        <f>IFERROR(INDEX(tblCRM[姓名／稱呼],MATCH(tblSales[[#This Row],[客戶ID]],tblCRM[客戶ID],0)),"")</f>
        <v/>
      </c>
      <c r="H156" t="str">
        <f>IFERROR(INDEX(tblProducts[正式名稱],MATCH(tblSales[[#This Row],[SKU]],tblProducts[SKU],0)),"")</f>
        <v/>
      </c>
      <c r="J156" s="6" t="str">
        <f>IFERROR(INDEX(tblProducts[建議售價],MATCH(tblSales[[#This Row],[SKU]],tblProducts[SKU],0)),"")</f>
        <v/>
      </c>
      <c r="M156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157" spans="4:13" ht="19.95" customHeight="1">
      <c r="D157" t="str">
        <f>IFERROR(INDEX(tblCRM[姓名／稱呼],MATCH(tblSales[[#This Row],[客戶ID]],tblCRM[客戶ID],0)),"")</f>
        <v/>
      </c>
      <c r="H157" t="str">
        <f>IFERROR(INDEX(tblProducts[正式名稱],MATCH(tblSales[[#This Row],[SKU]],tblProducts[SKU],0)),"")</f>
        <v/>
      </c>
      <c r="J157" s="6" t="str">
        <f>IFERROR(INDEX(tblProducts[建議售價],MATCH(tblSales[[#This Row],[SKU]],tblProducts[SKU],0)),"")</f>
        <v/>
      </c>
      <c r="M157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158" spans="4:13" ht="19.95" customHeight="1">
      <c r="D158" t="str">
        <f>IFERROR(INDEX(tblCRM[姓名／稱呼],MATCH(tblSales[[#This Row],[客戶ID]],tblCRM[客戶ID],0)),"")</f>
        <v/>
      </c>
      <c r="H158" t="str">
        <f>IFERROR(INDEX(tblProducts[正式名稱],MATCH(tblSales[[#This Row],[SKU]],tblProducts[SKU],0)),"")</f>
        <v/>
      </c>
      <c r="J158" s="6" t="str">
        <f>IFERROR(INDEX(tblProducts[建議售價],MATCH(tblSales[[#This Row],[SKU]],tblProducts[SKU],0)),"")</f>
        <v/>
      </c>
      <c r="M158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159" spans="4:13" ht="19.95" customHeight="1">
      <c r="D159" t="str">
        <f>IFERROR(INDEX(tblCRM[姓名／稱呼],MATCH(tblSales[[#This Row],[客戶ID]],tblCRM[客戶ID],0)),"")</f>
        <v/>
      </c>
      <c r="H159" t="str">
        <f>IFERROR(INDEX(tblProducts[正式名稱],MATCH(tblSales[[#This Row],[SKU]],tblProducts[SKU],0)),"")</f>
        <v/>
      </c>
      <c r="J159" s="6" t="str">
        <f>IFERROR(INDEX(tblProducts[建議售價],MATCH(tblSales[[#This Row],[SKU]],tblProducts[SKU],0)),"")</f>
        <v/>
      </c>
      <c r="M159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160" spans="4:13" ht="19.95" customHeight="1">
      <c r="D160" t="str">
        <f>IFERROR(INDEX(tblCRM[姓名／稱呼],MATCH(tblSales[[#This Row],[客戶ID]],tblCRM[客戶ID],0)),"")</f>
        <v/>
      </c>
      <c r="H160" t="str">
        <f>IFERROR(INDEX(tblProducts[正式名稱],MATCH(tblSales[[#This Row],[SKU]],tblProducts[SKU],0)),"")</f>
        <v/>
      </c>
      <c r="J160" s="6" t="str">
        <f>IFERROR(INDEX(tblProducts[建議售價],MATCH(tblSales[[#This Row],[SKU]],tblProducts[SKU],0)),"")</f>
        <v/>
      </c>
      <c r="M160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161" spans="4:13" ht="19.95" customHeight="1">
      <c r="D161" t="str">
        <f>IFERROR(INDEX(tblCRM[姓名／稱呼],MATCH(tblSales[[#This Row],[客戶ID]],tblCRM[客戶ID],0)),"")</f>
        <v/>
      </c>
      <c r="H161" t="str">
        <f>IFERROR(INDEX(tblProducts[正式名稱],MATCH(tblSales[[#This Row],[SKU]],tblProducts[SKU],0)),"")</f>
        <v/>
      </c>
      <c r="J161" s="6" t="str">
        <f>IFERROR(INDEX(tblProducts[建議售價],MATCH(tblSales[[#This Row],[SKU]],tblProducts[SKU],0)),"")</f>
        <v/>
      </c>
      <c r="M161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162" spans="4:13" ht="19.95" customHeight="1">
      <c r="D162" t="str">
        <f>IFERROR(INDEX(tblCRM[姓名／稱呼],MATCH(tblSales[[#This Row],[客戶ID]],tblCRM[客戶ID],0)),"")</f>
        <v/>
      </c>
      <c r="H162" t="str">
        <f>IFERROR(INDEX(tblProducts[正式名稱],MATCH(tblSales[[#This Row],[SKU]],tblProducts[SKU],0)),"")</f>
        <v/>
      </c>
      <c r="J162" s="6" t="str">
        <f>IFERROR(INDEX(tblProducts[建議售價],MATCH(tblSales[[#This Row],[SKU]],tblProducts[SKU],0)),"")</f>
        <v/>
      </c>
      <c r="M162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163" spans="4:13" ht="19.95" customHeight="1">
      <c r="D163" t="str">
        <f>IFERROR(INDEX(tblCRM[姓名／稱呼],MATCH(tblSales[[#This Row],[客戶ID]],tblCRM[客戶ID],0)),"")</f>
        <v/>
      </c>
      <c r="H163" t="str">
        <f>IFERROR(INDEX(tblProducts[正式名稱],MATCH(tblSales[[#This Row],[SKU]],tblProducts[SKU],0)),"")</f>
        <v/>
      </c>
      <c r="J163" s="6" t="str">
        <f>IFERROR(INDEX(tblProducts[建議售價],MATCH(tblSales[[#This Row],[SKU]],tblProducts[SKU],0)),"")</f>
        <v/>
      </c>
      <c r="M163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164" spans="4:13" ht="19.95" customHeight="1">
      <c r="D164" t="str">
        <f>IFERROR(INDEX(tblCRM[姓名／稱呼],MATCH(tblSales[[#This Row],[客戶ID]],tblCRM[客戶ID],0)),"")</f>
        <v/>
      </c>
      <c r="H164" t="str">
        <f>IFERROR(INDEX(tblProducts[正式名稱],MATCH(tblSales[[#This Row],[SKU]],tblProducts[SKU],0)),"")</f>
        <v/>
      </c>
      <c r="J164" s="6" t="str">
        <f>IFERROR(INDEX(tblProducts[建議售價],MATCH(tblSales[[#This Row],[SKU]],tblProducts[SKU],0)),"")</f>
        <v/>
      </c>
      <c r="M164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165" spans="4:13" ht="19.95" customHeight="1">
      <c r="D165" t="str">
        <f>IFERROR(INDEX(tblCRM[姓名／稱呼],MATCH(tblSales[[#This Row],[客戶ID]],tblCRM[客戶ID],0)),"")</f>
        <v/>
      </c>
      <c r="H165" t="str">
        <f>IFERROR(INDEX(tblProducts[正式名稱],MATCH(tblSales[[#This Row],[SKU]],tblProducts[SKU],0)),"")</f>
        <v/>
      </c>
      <c r="J165" s="6" t="str">
        <f>IFERROR(INDEX(tblProducts[建議售價],MATCH(tblSales[[#This Row],[SKU]],tblProducts[SKU],0)),"")</f>
        <v/>
      </c>
      <c r="M165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166" spans="4:13" ht="19.95" customHeight="1">
      <c r="D166" t="str">
        <f>IFERROR(INDEX(tblCRM[姓名／稱呼],MATCH(tblSales[[#This Row],[客戶ID]],tblCRM[客戶ID],0)),"")</f>
        <v/>
      </c>
      <c r="H166" t="str">
        <f>IFERROR(INDEX(tblProducts[正式名稱],MATCH(tblSales[[#This Row],[SKU]],tblProducts[SKU],0)),"")</f>
        <v/>
      </c>
      <c r="J166" s="6" t="str">
        <f>IFERROR(INDEX(tblProducts[建議售價],MATCH(tblSales[[#This Row],[SKU]],tblProducts[SKU],0)),"")</f>
        <v/>
      </c>
      <c r="M166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167" spans="4:13" ht="19.95" customHeight="1">
      <c r="D167" t="str">
        <f>IFERROR(INDEX(tblCRM[姓名／稱呼],MATCH(tblSales[[#This Row],[客戶ID]],tblCRM[客戶ID],0)),"")</f>
        <v/>
      </c>
      <c r="H167" t="str">
        <f>IFERROR(INDEX(tblProducts[正式名稱],MATCH(tblSales[[#This Row],[SKU]],tblProducts[SKU],0)),"")</f>
        <v/>
      </c>
      <c r="J167" s="6" t="str">
        <f>IFERROR(INDEX(tblProducts[建議售價],MATCH(tblSales[[#This Row],[SKU]],tblProducts[SKU],0)),"")</f>
        <v/>
      </c>
      <c r="M167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168" spans="4:13" ht="19.95" customHeight="1">
      <c r="D168" t="str">
        <f>IFERROR(INDEX(tblCRM[姓名／稱呼],MATCH(tblSales[[#This Row],[客戶ID]],tblCRM[客戶ID],0)),"")</f>
        <v/>
      </c>
      <c r="H168" t="str">
        <f>IFERROR(INDEX(tblProducts[正式名稱],MATCH(tblSales[[#This Row],[SKU]],tblProducts[SKU],0)),"")</f>
        <v/>
      </c>
      <c r="J168" s="6" t="str">
        <f>IFERROR(INDEX(tblProducts[建議售價],MATCH(tblSales[[#This Row],[SKU]],tblProducts[SKU],0)),"")</f>
        <v/>
      </c>
      <c r="M168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169" spans="4:13" ht="19.95" customHeight="1">
      <c r="D169" t="str">
        <f>IFERROR(INDEX(tblCRM[姓名／稱呼],MATCH(tblSales[[#This Row],[客戶ID]],tblCRM[客戶ID],0)),"")</f>
        <v/>
      </c>
      <c r="H169" t="str">
        <f>IFERROR(INDEX(tblProducts[正式名稱],MATCH(tblSales[[#This Row],[SKU]],tblProducts[SKU],0)),"")</f>
        <v/>
      </c>
      <c r="J169" s="6" t="str">
        <f>IFERROR(INDEX(tblProducts[建議售價],MATCH(tblSales[[#This Row],[SKU]],tblProducts[SKU],0)),"")</f>
        <v/>
      </c>
      <c r="M169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170" spans="4:13" ht="19.95" customHeight="1">
      <c r="D170" t="str">
        <f>IFERROR(INDEX(tblCRM[姓名／稱呼],MATCH(tblSales[[#This Row],[客戶ID]],tblCRM[客戶ID],0)),"")</f>
        <v/>
      </c>
      <c r="H170" t="str">
        <f>IFERROR(INDEX(tblProducts[正式名稱],MATCH(tblSales[[#This Row],[SKU]],tblProducts[SKU],0)),"")</f>
        <v/>
      </c>
      <c r="J170" s="6" t="str">
        <f>IFERROR(INDEX(tblProducts[建議售價],MATCH(tblSales[[#This Row],[SKU]],tblProducts[SKU],0)),"")</f>
        <v/>
      </c>
      <c r="M170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171" spans="4:13" ht="19.95" customHeight="1">
      <c r="D171" t="str">
        <f>IFERROR(INDEX(tblCRM[姓名／稱呼],MATCH(tblSales[[#This Row],[客戶ID]],tblCRM[客戶ID],0)),"")</f>
        <v/>
      </c>
      <c r="H171" t="str">
        <f>IFERROR(INDEX(tblProducts[正式名稱],MATCH(tblSales[[#This Row],[SKU]],tblProducts[SKU],0)),"")</f>
        <v/>
      </c>
      <c r="J171" s="6" t="str">
        <f>IFERROR(INDEX(tblProducts[建議售價],MATCH(tblSales[[#This Row],[SKU]],tblProducts[SKU],0)),"")</f>
        <v/>
      </c>
      <c r="M171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172" spans="4:13" ht="19.95" customHeight="1">
      <c r="D172" t="str">
        <f>IFERROR(INDEX(tblCRM[姓名／稱呼],MATCH(tblSales[[#This Row],[客戶ID]],tblCRM[客戶ID],0)),"")</f>
        <v/>
      </c>
      <c r="H172" t="str">
        <f>IFERROR(INDEX(tblProducts[正式名稱],MATCH(tblSales[[#This Row],[SKU]],tblProducts[SKU],0)),"")</f>
        <v/>
      </c>
      <c r="J172" s="6" t="str">
        <f>IFERROR(INDEX(tblProducts[建議售價],MATCH(tblSales[[#This Row],[SKU]],tblProducts[SKU],0)),"")</f>
        <v/>
      </c>
      <c r="M172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173" spans="4:13" ht="19.95" customHeight="1">
      <c r="D173" t="str">
        <f>IFERROR(INDEX(tblCRM[姓名／稱呼],MATCH(tblSales[[#This Row],[客戶ID]],tblCRM[客戶ID],0)),"")</f>
        <v/>
      </c>
      <c r="H173" t="str">
        <f>IFERROR(INDEX(tblProducts[正式名稱],MATCH(tblSales[[#This Row],[SKU]],tblProducts[SKU],0)),"")</f>
        <v/>
      </c>
      <c r="J173" s="6" t="str">
        <f>IFERROR(INDEX(tblProducts[建議售價],MATCH(tblSales[[#This Row],[SKU]],tblProducts[SKU],0)),"")</f>
        <v/>
      </c>
      <c r="M173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174" spans="4:13" ht="19.95" customHeight="1">
      <c r="D174" t="str">
        <f>IFERROR(INDEX(tblCRM[姓名／稱呼],MATCH(tblSales[[#This Row],[客戶ID]],tblCRM[客戶ID],0)),"")</f>
        <v/>
      </c>
      <c r="H174" t="str">
        <f>IFERROR(INDEX(tblProducts[正式名稱],MATCH(tblSales[[#This Row],[SKU]],tblProducts[SKU],0)),"")</f>
        <v/>
      </c>
      <c r="J174" s="6" t="str">
        <f>IFERROR(INDEX(tblProducts[建議售價],MATCH(tblSales[[#This Row],[SKU]],tblProducts[SKU],0)),"")</f>
        <v/>
      </c>
      <c r="M174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175" spans="4:13" ht="19.95" customHeight="1">
      <c r="D175" t="str">
        <f>IFERROR(INDEX(tblCRM[姓名／稱呼],MATCH(tblSales[[#This Row],[客戶ID]],tblCRM[客戶ID],0)),"")</f>
        <v/>
      </c>
      <c r="H175" t="str">
        <f>IFERROR(INDEX(tblProducts[正式名稱],MATCH(tblSales[[#This Row],[SKU]],tblProducts[SKU],0)),"")</f>
        <v/>
      </c>
      <c r="J175" s="6" t="str">
        <f>IFERROR(INDEX(tblProducts[建議售價],MATCH(tblSales[[#This Row],[SKU]],tblProducts[SKU],0)),"")</f>
        <v/>
      </c>
      <c r="M175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176" spans="4:13" ht="19.95" customHeight="1">
      <c r="D176" t="str">
        <f>IFERROR(INDEX(tblCRM[姓名／稱呼],MATCH(tblSales[[#This Row],[客戶ID]],tblCRM[客戶ID],0)),"")</f>
        <v/>
      </c>
      <c r="H176" t="str">
        <f>IFERROR(INDEX(tblProducts[正式名稱],MATCH(tblSales[[#This Row],[SKU]],tblProducts[SKU],0)),"")</f>
        <v/>
      </c>
      <c r="J176" s="6" t="str">
        <f>IFERROR(INDEX(tblProducts[建議售價],MATCH(tblSales[[#This Row],[SKU]],tblProducts[SKU],0)),"")</f>
        <v/>
      </c>
      <c r="M176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177" spans="4:13" ht="19.95" customHeight="1">
      <c r="D177" t="str">
        <f>IFERROR(INDEX(tblCRM[姓名／稱呼],MATCH(tblSales[[#This Row],[客戶ID]],tblCRM[客戶ID],0)),"")</f>
        <v/>
      </c>
      <c r="H177" t="str">
        <f>IFERROR(INDEX(tblProducts[正式名稱],MATCH(tblSales[[#This Row],[SKU]],tblProducts[SKU],0)),"")</f>
        <v/>
      </c>
      <c r="J177" s="6" t="str">
        <f>IFERROR(INDEX(tblProducts[建議售價],MATCH(tblSales[[#This Row],[SKU]],tblProducts[SKU],0)),"")</f>
        <v/>
      </c>
      <c r="M177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178" spans="4:13" ht="19.95" customHeight="1">
      <c r="D178" t="str">
        <f>IFERROR(INDEX(tblCRM[姓名／稱呼],MATCH(tblSales[[#This Row],[客戶ID]],tblCRM[客戶ID],0)),"")</f>
        <v/>
      </c>
      <c r="H178" t="str">
        <f>IFERROR(INDEX(tblProducts[正式名稱],MATCH(tblSales[[#This Row],[SKU]],tblProducts[SKU],0)),"")</f>
        <v/>
      </c>
      <c r="J178" s="6" t="str">
        <f>IFERROR(INDEX(tblProducts[建議售價],MATCH(tblSales[[#This Row],[SKU]],tblProducts[SKU],0)),"")</f>
        <v/>
      </c>
      <c r="M178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179" spans="4:13" ht="19.95" customHeight="1">
      <c r="D179" t="str">
        <f>IFERROR(INDEX(tblCRM[姓名／稱呼],MATCH(tblSales[[#This Row],[客戶ID]],tblCRM[客戶ID],0)),"")</f>
        <v/>
      </c>
      <c r="H179" t="str">
        <f>IFERROR(INDEX(tblProducts[正式名稱],MATCH(tblSales[[#This Row],[SKU]],tblProducts[SKU],0)),"")</f>
        <v/>
      </c>
      <c r="J179" s="6" t="str">
        <f>IFERROR(INDEX(tblProducts[建議售價],MATCH(tblSales[[#This Row],[SKU]],tblProducts[SKU],0)),"")</f>
        <v/>
      </c>
      <c r="M179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180" spans="4:13" ht="19.95" customHeight="1">
      <c r="D180" t="str">
        <f>IFERROR(INDEX(tblCRM[姓名／稱呼],MATCH(tblSales[[#This Row],[客戶ID]],tblCRM[客戶ID],0)),"")</f>
        <v/>
      </c>
      <c r="H180" t="str">
        <f>IFERROR(INDEX(tblProducts[正式名稱],MATCH(tblSales[[#This Row],[SKU]],tblProducts[SKU],0)),"")</f>
        <v/>
      </c>
      <c r="J180" s="6" t="str">
        <f>IFERROR(INDEX(tblProducts[建議售價],MATCH(tblSales[[#This Row],[SKU]],tblProducts[SKU],0)),"")</f>
        <v/>
      </c>
      <c r="M180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181" spans="4:13" ht="19.95" customHeight="1">
      <c r="D181" t="str">
        <f>IFERROR(INDEX(tblCRM[姓名／稱呼],MATCH(tblSales[[#This Row],[客戶ID]],tblCRM[客戶ID],0)),"")</f>
        <v/>
      </c>
      <c r="H181" t="str">
        <f>IFERROR(INDEX(tblProducts[正式名稱],MATCH(tblSales[[#This Row],[SKU]],tblProducts[SKU],0)),"")</f>
        <v/>
      </c>
      <c r="J181" s="6" t="str">
        <f>IFERROR(INDEX(tblProducts[建議售價],MATCH(tblSales[[#This Row],[SKU]],tblProducts[SKU],0)),"")</f>
        <v/>
      </c>
      <c r="M181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182" spans="4:13" ht="19.95" customHeight="1">
      <c r="D182" t="str">
        <f>IFERROR(INDEX(tblCRM[姓名／稱呼],MATCH(tblSales[[#This Row],[客戶ID]],tblCRM[客戶ID],0)),"")</f>
        <v/>
      </c>
      <c r="H182" t="str">
        <f>IFERROR(INDEX(tblProducts[正式名稱],MATCH(tblSales[[#This Row],[SKU]],tblProducts[SKU],0)),"")</f>
        <v/>
      </c>
      <c r="J182" s="6" t="str">
        <f>IFERROR(INDEX(tblProducts[建議售價],MATCH(tblSales[[#This Row],[SKU]],tblProducts[SKU],0)),"")</f>
        <v/>
      </c>
      <c r="M182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183" spans="4:13" ht="19.95" customHeight="1">
      <c r="D183" t="str">
        <f>IFERROR(INDEX(tblCRM[姓名／稱呼],MATCH(tblSales[[#This Row],[客戶ID]],tblCRM[客戶ID],0)),"")</f>
        <v/>
      </c>
      <c r="H183" t="str">
        <f>IFERROR(INDEX(tblProducts[正式名稱],MATCH(tblSales[[#This Row],[SKU]],tblProducts[SKU],0)),"")</f>
        <v/>
      </c>
      <c r="J183" s="6" t="str">
        <f>IFERROR(INDEX(tblProducts[建議售價],MATCH(tblSales[[#This Row],[SKU]],tblProducts[SKU],0)),"")</f>
        <v/>
      </c>
      <c r="M183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184" spans="4:13" ht="19.95" customHeight="1">
      <c r="D184" t="str">
        <f>IFERROR(INDEX(tblCRM[姓名／稱呼],MATCH(tblSales[[#This Row],[客戶ID]],tblCRM[客戶ID],0)),"")</f>
        <v/>
      </c>
      <c r="H184" t="str">
        <f>IFERROR(INDEX(tblProducts[正式名稱],MATCH(tblSales[[#This Row],[SKU]],tblProducts[SKU],0)),"")</f>
        <v/>
      </c>
      <c r="J184" s="6" t="str">
        <f>IFERROR(INDEX(tblProducts[建議售價],MATCH(tblSales[[#This Row],[SKU]],tblProducts[SKU],0)),"")</f>
        <v/>
      </c>
      <c r="M184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185" spans="4:13" ht="19.95" customHeight="1">
      <c r="D185" t="str">
        <f>IFERROR(INDEX(tblCRM[姓名／稱呼],MATCH(tblSales[[#This Row],[客戶ID]],tblCRM[客戶ID],0)),"")</f>
        <v/>
      </c>
      <c r="H185" t="str">
        <f>IFERROR(INDEX(tblProducts[正式名稱],MATCH(tblSales[[#This Row],[SKU]],tblProducts[SKU],0)),"")</f>
        <v/>
      </c>
      <c r="J185" s="6" t="str">
        <f>IFERROR(INDEX(tblProducts[建議售價],MATCH(tblSales[[#This Row],[SKU]],tblProducts[SKU],0)),"")</f>
        <v/>
      </c>
      <c r="M185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186" spans="4:13" ht="19.95" customHeight="1">
      <c r="D186" t="str">
        <f>IFERROR(INDEX(tblCRM[姓名／稱呼],MATCH(tblSales[[#This Row],[客戶ID]],tblCRM[客戶ID],0)),"")</f>
        <v/>
      </c>
      <c r="H186" t="str">
        <f>IFERROR(INDEX(tblProducts[正式名稱],MATCH(tblSales[[#This Row],[SKU]],tblProducts[SKU],0)),"")</f>
        <v/>
      </c>
      <c r="J186" s="6" t="str">
        <f>IFERROR(INDEX(tblProducts[建議售價],MATCH(tblSales[[#This Row],[SKU]],tblProducts[SKU],0)),"")</f>
        <v/>
      </c>
      <c r="M186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187" spans="4:13" ht="19.95" customHeight="1">
      <c r="D187" t="str">
        <f>IFERROR(INDEX(tblCRM[姓名／稱呼],MATCH(tblSales[[#This Row],[客戶ID]],tblCRM[客戶ID],0)),"")</f>
        <v/>
      </c>
      <c r="H187" t="str">
        <f>IFERROR(INDEX(tblProducts[正式名稱],MATCH(tblSales[[#This Row],[SKU]],tblProducts[SKU],0)),"")</f>
        <v/>
      </c>
      <c r="J187" s="6" t="str">
        <f>IFERROR(INDEX(tblProducts[建議售價],MATCH(tblSales[[#This Row],[SKU]],tblProducts[SKU],0)),"")</f>
        <v/>
      </c>
      <c r="M187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188" spans="4:13" ht="19.95" customHeight="1">
      <c r="D188" t="str">
        <f>IFERROR(INDEX(tblCRM[姓名／稱呼],MATCH(tblSales[[#This Row],[客戶ID]],tblCRM[客戶ID],0)),"")</f>
        <v/>
      </c>
      <c r="H188" t="str">
        <f>IFERROR(INDEX(tblProducts[正式名稱],MATCH(tblSales[[#This Row],[SKU]],tblProducts[SKU],0)),"")</f>
        <v/>
      </c>
      <c r="J188" s="6" t="str">
        <f>IFERROR(INDEX(tblProducts[建議售價],MATCH(tblSales[[#This Row],[SKU]],tblProducts[SKU],0)),"")</f>
        <v/>
      </c>
      <c r="M188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189" spans="4:13" ht="19.95" customHeight="1">
      <c r="D189" t="str">
        <f>IFERROR(INDEX(tblCRM[姓名／稱呼],MATCH(tblSales[[#This Row],[客戶ID]],tblCRM[客戶ID],0)),"")</f>
        <v/>
      </c>
      <c r="H189" t="str">
        <f>IFERROR(INDEX(tblProducts[正式名稱],MATCH(tblSales[[#This Row],[SKU]],tblProducts[SKU],0)),"")</f>
        <v/>
      </c>
      <c r="J189" s="6" t="str">
        <f>IFERROR(INDEX(tblProducts[建議售價],MATCH(tblSales[[#This Row],[SKU]],tblProducts[SKU],0)),"")</f>
        <v/>
      </c>
      <c r="M189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190" spans="4:13" ht="19.95" customHeight="1">
      <c r="D190" t="str">
        <f>IFERROR(INDEX(tblCRM[姓名／稱呼],MATCH(tblSales[[#This Row],[客戶ID]],tblCRM[客戶ID],0)),"")</f>
        <v/>
      </c>
      <c r="H190" t="str">
        <f>IFERROR(INDEX(tblProducts[正式名稱],MATCH(tblSales[[#This Row],[SKU]],tblProducts[SKU],0)),"")</f>
        <v/>
      </c>
      <c r="J190" s="6" t="str">
        <f>IFERROR(INDEX(tblProducts[建議售價],MATCH(tblSales[[#This Row],[SKU]],tblProducts[SKU],0)),"")</f>
        <v/>
      </c>
      <c r="M190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191" spans="4:13" ht="19.95" customHeight="1">
      <c r="D191" t="str">
        <f>IFERROR(INDEX(tblCRM[姓名／稱呼],MATCH(tblSales[[#This Row],[客戶ID]],tblCRM[客戶ID],0)),"")</f>
        <v/>
      </c>
      <c r="H191" t="str">
        <f>IFERROR(INDEX(tblProducts[正式名稱],MATCH(tblSales[[#This Row],[SKU]],tblProducts[SKU],0)),"")</f>
        <v/>
      </c>
      <c r="J191" s="6" t="str">
        <f>IFERROR(INDEX(tblProducts[建議售價],MATCH(tblSales[[#This Row],[SKU]],tblProducts[SKU],0)),"")</f>
        <v/>
      </c>
      <c r="M191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192" spans="4:13" ht="19.95" customHeight="1">
      <c r="D192" t="str">
        <f>IFERROR(INDEX(tblCRM[姓名／稱呼],MATCH(tblSales[[#This Row],[客戶ID]],tblCRM[客戶ID],0)),"")</f>
        <v/>
      </c>
      <c r="H192" t="str">
        <f>IFERROR(INDEX(tblProducts[正式名稱],MATCH(tblSales[[#This Row],[SKU]],tblProducts[SKU],0)),"")</f>
        <v/>
      </c>
      <c r="J192" s="6" t="str">
        <f>IFERROR(INDEX(tblProducts[建議售價],MATCH(tblSales[[#This Row],[SKU]],tblProducts[SKU],0)),"")</f>
        <v/>
      </c>
      <c r="M192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193" spans="4:13" ht="19.95" customHeight="1">
      <c r="D193" t="str">
        <f>IFERROR(INDEX(tblCRM[姓名／稱呼],MATCH(tblSales[[#This Row],[客戶ID]],tblCRM[客戶ID],0)),"")</f>
        <v/>
      </c>
      <c r="H193" t="str">
        <f>IFERROR(INDEX(tblProducts[正式名稱],MATCH(tblSales[[#This Row],[SKU]],tblProducts[SKU],0)),"")</f>
        <v/>
      </c>
      <c r="J193" s="6" t="str">
        <f>IFERROR(INDEX(tblProducts[建議售價],MATCH(tblSales[[#This Row],[SKU]],tblProducts[SKU],0)),"")</f>
        <v/>
      </c>
      <c r="M193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194" spans="4:13" ht="19.95" customHeight="1">
      <c r="D194" t="str">
        <f>IFERROR(INDEX(tblCRM[姓名／稱呼],MATCH(tblSales[[#This Row],[客戶ID]],tblCRM[客戶ID],0)),"")</f>
        <v/>
      </c>
      <c r="H194" t="str">
        <f>IFERROR(INDEX(tblProducts[正式名稱],MATCH(tblSales[[#This Row],[SKU]],tblProducts[SKU],0)),"")</f>
        <v/>
      </c>
      <c r="J194" s="6" t="str">
        <f>IFERROR(INDEX(tblProducts[建議售價],MATCH(tblSales[[#This Row],[SKU]],tblProducts[SKU],0)),"")</f>
        <v/>
      </c>
      <c r="M194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195" spans="4:13" ht="19.95" customHeight="1">
      <c r="D195" t="str">
        <f>IFERROR(INDEX(tblCRM[姓名／稱呼],MATCH(tblSales[[#This Row],[客戶ID]],tblCRM[客戶ID],0)),"")</f>
        <v/>
      </c>
      <c r="H195" t="str">
        <f>IFERROR(INDEX(tblProducts[正式名稱],MATCH(tblSales[[#This Row],[SKU]],tblProducts[SKU],0)),"")</f>
        <v/>
      </c>
      <c r="J195" s="6" t="str">
        <f>IFERROR(INDEX(tblProducts[建議售價],MATCH(tblSales[[#This Row],[SKU]],tblProducts[SKU],0)),"")</f>
        <v/>
      </c>
      <c r="M195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196" spans="4:13" ht="19.95" customHeight="1">
      <c r="D196" t="str">
        <f>IFERROR(INDEX(tblCRM[姓名／稱呼],MATCH(tblSales[[#This Row],[客戶ID]],tblCRM[客戶ID],0)),"")</f>
        <v/>
      </c>
      <c r="H196" t="str">
        <f>IFERROR(INDEX(tblProducts[正式名稱],MATCH(tblSales[[#This Row],[SKU]],tblProducts[SKU],0)),"")</f>
        <v/>
      </c>
      <c r="J196" s="6" t="str">
        <f>IFERROR(INDEX(tblProducts[建議售價],MATCH(tblSales[[#This Row],[SKU]],tblProducts[SKU],0)),"")</f>
        <v/>
      </c>
      <c r="M196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197" spans="4:13" ht="19.95" customHeight="1">
      <c r="D197" t="str">
        <f>IFERROR(INDEX(tblCRM[姓名／稱呼],MATCH(tblSales[[#This Row],[客戶ID]],tblCRM[客戶ID],0)),"")</f>
        <v/>
      </c>
      <c r="H197" t="str">
        <f>IFERROR(INDEX(tblProducts[正式名稱],MATCH(tblSales[[#This Row],[SKU]],tblProducts[SKU],0)),"")</f>
        <v/>
      </c>
      <c r="J197" s="6" t="str">
        <f>IFERROR(INDEX(tblProducts[建議售價],MATCH(tblSales[[#This Row],[SKU]],tblProducts[SKU],0)),"")</f>
        <v/>
      </c>
      <c r="M197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198" spans="4:13" ht="19.95" customHeight="1">
      <c r="D198" t="str">
        <f>IFERROR(INDEX(tblCRM[姓名／稱呼],MATCH(tblSales[[#This Row],[客戶ID]],tblCRM[客戶ID],0)),"")</f>
        <v/>
      </c>
      <c r="H198" t="str">
        <f>IFERROR(INDEX(tblProducts[正式名稱],MATCH(tblSales[[#This Row],[SKU]],tblProducts[SKU],0)),"")</f>
        <v/>
      </c>
      <c r="J198" s="6" t="str">
        <f>IFERROR(INDEX(tblProducts[建議售價],MATCH(tblSales[[#This Row],[SKU]],tblProducts[SKU],0)),"")</f>
        <v/>
      </c>
      <c r="M198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199" spans="4:13" ht="19.95" customHeight="1">
      <c r="D199" t="str">
        <f>IFERROR(INDEX(tblCRM[姓名／稱呼],MATCH(tblSales[[#This Row],[客戶ID]],tblCRM[客戶ID],0)),"")</f>
        <v/>
      </c>
      <c r="H199" t="str">
        <f>IFERROR(INDEX(tblProducts[正式名稱],MATCH(tblSales[[#This Row],[SKU]],tblProducts[SKU],0)),"")</f>
        <v/>
      </c>
      <c r="J199" s="6" t="str">
        <f>IFERROR(INDEX(tblProducts[建議售價],MATCH(tblSales[[#This Row],[SKU]],tblProducts[SKU],0)),"")</f>
        <v/>
      </c>
      <c r="M199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200" spans="4:13" ht="19.95" customHeight="1">
      <c r="D200" t="str">
        <f>IFERROR(INDEX(tblCRM[姓名／稱呼],MATCH(tblSales[[#This Row],[客戶ID]],tblCRM[客戶ID],0)),"")</f>
        <v/>
      </c>
      <c r="H200" t="str">
        <f>IFERROR(INDEX(tblProducts[正式名稱],MATCH(tblSales[[#This Row],[SKU]],tblProducts[SKU],0)),"")</f>
        <v/>
      </c>
      <c r="J200" s="6" t="str">
        <f>IFERROR(INDEX(tblProducts[建議售價],MATCH(tblSales[[#This Row],[SKU]],tblProducts[SKU],0)),"")</f>
        <v/>
      </c>
      <c r="M200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201" spans="4:13" ht="19.95" customHeight="1">
      <c r="D201" t="str">
        <f>IFERROR(INDEX(tblCRM[姓名／稱呼],MATCH(tblSales[[#This Row],[客戶ID]],tblCRM[客戶ID],0)),"")</f>
        <v/>
      </c>
      <c r="H201" t="str">
        <f>IFERROR(INDEX(tblProducts[正式名稱],MATCH(tblSales[[#This Row],[SKU]],tblProducts[SKU],0)),"")</f>
        <v/>
      </c>
      <c r="J201" s="6" t="str">
        <f>IFERROR(INDEX(tblProducts[建議售價],MATCH(tblSales[[#This Row],[SKU]],tblProducts[SKU],0)),"")</f>
        <v/>
      </c>
      <c r="M201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202" spans="4:13" ht="19.95" customHeight="1">
      <c r="D202" t="str">
        <f>IFERROR(INDEX(tblCRM[姓名／稱呼],MATCH(tblSales[[#This Row],[客戶ID]],tblCRM[客戶ID],0)),"")</f>
        <v/>
      </c>
      <c r="H202" t="str">
        <f>IFERROR(INDEX(tblProducts[正式名稱],MATCH(tblSales[[#This Row],[SKU]],tblProducts[SKU],0)),"")</f>
        <v/>
      </c>
      <c r="J202" s="6" t="str">
        <f>IFERROR(INDEX(tblProducts[建議售價],MATCH(tblSales[[#This Row],[SKU]],tblProducts[SKU],0)),"")</f>
        <v/>
      </c>
      <c r="M202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203" spans="4:13" ht="19.95" customHeight="1">
      <c r="D203" t="str">
        <f>IFERROR(INDEX(tblCRM[姓名／稱呼],MATCH(tblSales[[#This Row],[客戶ID]],tblCRM[客戶ID],0)),"")</f>
        <v/>
      </c>
      <c r="H203" t="str">
        <f>IFERROR(INDEX(tblProducts[正式名稱],MATCH(tblSales[[#This Row],[SKU]],tblProducts[SKU],0)),"")</f>
        <v/>
      </c>
      <c r="J203" s="6" t="str">
        <f>IFERROR(INDEX(tblProducts[建議售價],MATCH(tblSales[[#This Row],[SKU]],tblProducts[SKU],0)),"")</f>
        <v/>
      </c>
      <c r="M203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204" spans="4:13" ht="19.95" customHeight="1">
      <c r="D204" t="str">
        <f>IFERROR(INDEX(tblCRM[姓名／稱呼],MATCH(tblSales[[#This Row],[客戶ID]],tblCRM[客戶ID],0)),"")</f>
        <v/>
      </c>
      <c r="H204" t="str">
        <f>IFERROR(INDEX(tblProducts[正式名稱],MATCH(tblSales[[#This Row],[SKU]],tblProducts[SKU],0)),"")</f>
        <v/>
      </c>
      <c r="J204" s="6" t="str">
        <f>IFERROR(INDEX(tblProducts[建議售價],MATCH(tblSales[[#This Row],[SKU]],tblProducts[SKU],0)),"")</f>
        <v/>
      </c>
      <c r="M204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205" spans="4:13" ht="19.95" customHeight="1">
      <c r="D205" t="str">
        <f>IFERROR(INDEX(tblCRM[姓名／稱呼],MATCH(tblSales[[#This Row],[客戶ID]],tblCRM[客戶ID],0)),"")</f>
        <v/>
      </c>
      <c r="H205" t="str">
        <f>IFERROR(INDEX(tblProducts[正式名稱],MATCH(tblSales[[#This Row],[SKU]],tblProducts[SKU],0)),"")</f>
        <v/>
      </c>
      <c r="J205" s="6" t="str">
        <f>IFERROR(INDEX(tblProducts[建議售價],MATCH(tblSales[[#This Row],[SKU]],tblProducts[SKU],0)),"")</f>
        <v/>
      </c>
      <c r="M205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206" spans="4:13" ht="19.95" customHeight="1">
      <c r="D206" t="str">
        <f>IFERROR(INDEX(tblCRM[姓名／稱呼],MATCH(tblSales[[#This Row],[客戶ID]],tblCRM[客戶ID],0)),"")</f>
        <v/>
      </c>
      <c r="H206" t="str">
        <f>IFERROR(INDEX(tblProducts[正式名稱],MATCH(tblSales[[#This Row],[SKU]],tblProducts[SKU],0)),"")</f>
        <v/>
      </c>
      <c r="J206" s="6" t="str">
        <f>IFERROR(INDEX(tblProducts[建議售價],MATCH(tblSales[[#This Row],[SKU]],tblProducts[SKU],0)),"")</f>
        <v/>
      </c>
      <c r="M206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207" spans="4:13" ht="19.95" customHeight="1">
      <c r="D207" t="str">
        <f>IFERROR(INDEX(tblCRM[姓名／稱呼],MATCH(tblSales[[#This Row],[客戶ID]],tblCRM[客戶ID],0)),"")</f>
        <v/>
      </c>
      <c r="H207" t="str">
        <f>IFERROR(INDEX(tblProducts[正式名稱],MATCH(tblSales[[#This Row],[SKU]],tblProducts[SKU],0)),"")</f>
        <v/>
      </c>
      <c r="J207" s="6" t="str">
        <f>IFERROR(INDEX(tblProducts[建議售價],MATCH(tblSales[[#This Row],[SKU]],tblProducts[SKU],0)),"")</f>
        <v/>
      </c>
      <c r="M207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208" spans="4:13" ht="19.95" customHeight="1">
      <c r="D208" t="str">
        <f>IFERROR(INDEX(tblCRM[姓名／稱呼],MATCH(tblSales[[#This Row],[客戶ID]],tblCRM[客戶ID],0)),"")</f>
        <v/>
      </c>
      <c r="H208" t="str">
        <f>IFERROR(INDEX(tblProducts[正式名稱],MATCH(tblSales[[#This Row],[SKU]],tblProducts[SKU],0)),"")</f>
        <v/>
      </c>
      <c r="J208" s="6" t="str">
        <f>IFERROR(INDEX(tblProducts[建議售價],MATCH(tblSales[[#This Row],[SKU]],tblProducts[SKU],0)),"")</f>
        <v/>
      </c>
      <c r="M208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209" spans="4:13" ht="19.95" customHeight="1">
      <c r="D209" t="str">
        <f>IFERROR(INDEX(tblCRM[姓名／稱呼],MATCH(tblSales[[#This Row],[客戶ID]],tblCRM[客戶ID],0)),"")</f>
        <v/>
      </c>
      <c r="H209" t="str">
        <f>IFERROR(INDEX(tblProducts[正式名稱],MATCH(tblSales[[#This Row],[SKU]],tblProducts[SKU],0)),"")</f>
        <v/>
      </c>
      <c r="J209" s="6" t="str">
        <f>IFERROR(INDEX(tblProducts[建議售價],MATCH(tblSales[[#This Row],[SKU]],tblProducts[SKU],0)),"")</f>
        <v/>
      </c>
      <c r="M209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210" spans="4:13" ht="19.95" customHeight="1">
      <c r="D210" t="str">
        <f>IFERROR(INDEX(tblCRM[姓名／稱呼],MATCH(tblSales[[#This Row],[客戶ID]],tblCRM[客戶ID],0)),"")</f>
        <v/>
      </c>
      <c r="H210" t="str">
        <f>IFERROR(INDEX(tblProducts[正式名稱],MATCH(tblSales[[#This Row],[SKU]],tblProducts[SKU],0)),"")</f>
        <v/>
      </c>
      <c r="J210" s="6" t="str">
        <f>IFERROR(INDEX(tblProducts[建議售價],MATCH(tblSales[[#This Row],[SKU]],tblProducts[SKU],0)),"")</f>
        <v/>
      </c>
      <c r="M210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211" spans="4:13" ht="19.95" customHeight="1">
      <c r="D211" t="str">
        <f>IFERROR(INDEX(tblCRM[姓名／稱呼],MATCH(tblSales[[#This Row],[客戶ID]],tblCRM[客戶ID],0)),"")</f>
        <v/>
      </c>
      <c r="H211" t="str">
        <f>IFERROR(INDEX(tblProducts[正式名稱],MATCH(tblSales[[#This Row],[SKU]],tblProducts[SKU],0)),"")</f>
        <v/>
      </c>
      <c r="J211" s="6" t="str">
        <f>IFERROR(INDEX(tblProducts[建議售價],MATCH(tblSales[[#This Row],[SKU]],tblProducts[SKU],0)),"")</f>
        <v/>
      </c>
      <c r="M211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212" spans="4:13" ht="19.95" customHeight="1">
      <c r="D212" t="str">
        <f>IFERROR(INDEX(tblCRM[姓名／稱呼],MATCH(tblSales[[#This Row],[客戶ID]],tblCRM[客戶ID],0)),"")</f>
        <v/>
      </c>
      <c r="H212" t="str">
        <f>IFERROR(INDEX(tblProducts[正式名稱],MATCH(tblSales[[#This Row],[SKU]],tblProducts[SKU],0)),"")</f>
        <v/>
      </c>
      <c r="J212" s="6" t="str">
        <f>IFERROR(INDEX(tblProducts[建議售價],MATCH(tblSales[[#This Row],[SKU]],tblProducts[SKU],0)),"")</f>
        <v/>
      </c>
      <c r="M212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213" spans="4:13" ht="19.95" customHeight="1">
      <c r="D213" t="str">
        <f>IFERROR(INDEX(tblCRM[姓名／稱呼],MATCH(tblSales[[#This Row],[客戶ID]],tblCRM[客戶ID],0)),"")</f>
        <v/>
      </c>
      <c r="H213" t="str">
        <f>IFERROR(INDEX(tblProducts[正式名稱],MATCH(tblSales[[#This Row],[SKU]],tblProducts[SKU],0)),"")</f>
        <v/>
      </c>
      <c r="J213" s="6" t="str">
        <f>IFERROR(INDEX(tblProducts[建議售價],MATCH(tblSales[[#This Row],[SKU]],tblProducts[SKU],0)),"")</f>
        <v/>
      </c>
      <c r="M213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214" spans="4:13" ht="19.95" customHeight="1">
      <c r="D214" t="str">
        <f>IFERROR(INDEX(tblCRM[姓名／稱呼],MATCH(tblSales[[#This Row],[客戶ID]],tblCRM[客戶ID],0)),"")</f>
        <v/>
      </c>
      <c r="H214" t="str">
        <f>IFERROR(INDEX(tblProducts[正式名稱],MATCH(tblSales[[#This Row],[SKU]],tblProducts[SKU],0)),"")</f>
        <v/>
      </c>
      <c r="J214" s="6" t="str">
        <f>IFERROR(INDEX(tblProducts[建議售價],MATCH(tblSales[[#This Row],[SKU]],tblProducts[SKU],0)),"")</f>
        <v/>
      </c>
      <c r="M214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215" spans="4:13" ht="19.95" customHeight="1">
      <c r="D215" t="str">
        <f>IFERROR(INDEX(tblCRM[姓名／稱呼],MATCH(tblSales[[#This Row],[客戶ID]],tblCRM[客戶ID],0)),"")</f>
        <v/>
      </c>
      <c r="H215" t="str">
        <f>IFERROR(INDEX(tblProducts[正式名稱],MATCH(tblSales[[#This Row],[SKU]],tblProducts[SKU],0)),"")</f>
        <v/>
      </c>
      <c r="J215" s="6" t="str">
        <f>IFERROR(INDEX(tblProducts[建議售價],MATCH(tblSales[[#This Row],[SKU]],tblProducts[SKU],0)),"")</f>
        <v/>
      </c>
      <c r="M215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216" spans="4:13" ht="19.95" customHeight="1">
      <c r="D216" t="str">
        <f>IFERROR(INDEX(tblCRM[姓名／稱呼],MATCH(tblSales[[#This Row],[客戶ID]],tblCRM[客戶ID],0)),"")</f>
        <v/>
      </c>
      <c r="H216" t="str">
        <f>IFERROR(INDEX(tblProducts[正式名稱],MATCH(tblSales[[#This Row],[SKU]],tblProducts[SKU],0)),"")</f>
        <v/>
      </c>
      <c r="J216" s="6" t="str">
        <f>IFERROR(INDEX(tblProducts[建議售價],MATCH(tblSales[[#This Row],[SKU]],tblProducts[SKU],0)),"")</f>
        <v/>
      </c>
      <c r="M216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217" spans="4:13" ht="19.95" customHeight="1">
      <c r="D217" t="str">
        <f>IFERROR(INDEX(tblCRM[姓名／稱呼],MATCH(tblSales[[#This Row],[客戶ID]],tblCRM[客戶ID],0)),"")</f>
        <v/>
      </c>
      <c r="H217" t="str">
        <f>IFERROR(INDEX(tblProducts[正式名稱],MATCH(tblSales[[#This Row],[SKU]],tblProducts[SKU],0)),"")</f>
        <v/>
      </c>
      <c r="J217" s="6" t="str">
        <f>IFERROR(INDEX(tblProducts[建議售價],MATCH(tblSales[[#This Row],[SKU]],tblProducts[SKU],0)),"")</f>
        <v/>
      </c>
      <c r="M217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218" spans="4:13" ht="19.95" customHeight="1">
      <c r="D218" t="str">
        <f>IFERROR(INDEX(tblCRM[姓名／稱呼],MATCH(tblSales[[#This Row],[客戶ID]],tblCRM[客戶ID],0)),"")</f>
        <v/>
      </c>
      <c r="H218" t="str">
        <f>IFERROR(INDEX(tblProducts[正式名稱],MATCH(tblSales[[#This Row],[SKU]],tblProducts[SKU],0)),"")</f>
        <v/>
      </c>
      <c r="J218" s="6" t="str">
        <f>IFERROR(INDEX(tblProducts[建議售價],MATCH(tblSales[[#This Row],[SKU]],tblProducts[SKU],0)),"")</f>
        <v/>
      </c>
      <c r="M218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219" spans="4:13" ht="19.95" customHeight="1">
      <c r="D219" t="str">
        <f>IFERROR(INDEX(tblCRM[姓名／稱呼],MATCH(tblSales[[#This Row],[客戶ID]],tblCRM[客戶ID],0)),"")</f>
        <v/>
      </c>
      <c r="H219" t="str">
        <f>IFERROR(INDEX(tblProducts[正式名稱],MATCH(tblSales[[#This Row],[SKU]],tblProducts[SKU],0)),"")</f>
        <v/>
      </c>
      <c r="J219" s="6" t="str">
        <f>IFERROR(INDEX(tblProducts[建議售價],MATCH(tblSales[[#This Row],[SKU]],tblProducts[SKU],0)),"")</f>
        <v/>
      </c>
      <c r="M219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220" spans="4:13" ht="19.95" customHeight="1">
      <c r="D220" t="str">
        <f>IFERROR(INDEX(tblCRM[姓名／稱呼],MATCH(tblSales[[#This Row],[客戶ID]],tblCRM[客戶ID],0)),"")</f>
        <v/>
      </c>
      <c r="H220" t="str">
        <f>IFERROR(INDEX(tblProducts[正式名稱],MATCH(tblSales[[#This Row],[SKU]],tblProducts[SKU],0)),"")</f>
        <v/>
      </c>
      <c r="J220" s="6" t="str">
        <f>IFERROR(INDEX(tblProducts[建議售價],MATCH(tblSales[[#This Row],[SKU]],tblProducts[SKU],0)),"")</f>
        <v/>
      </c>
      <c r="M220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221" spans="4:13" ht="19.95" customHeight="1">
      <c r="D221" t="str">
        <f>IFERROR(INDEX(tblCRM[姓名／稱呼],MATCH(tblSales[[#This Row],[客戶ID]],tblCRM[客戶ID],0)),"")</f>
        <v/>
      </c>
      <c r="H221" t="str">
        <f>IFERROR(INDEX(tblProducts[正式名稱],MATCH(tblSales[[#This Row],[SKU]],tblProducts[SKU],0)),"")</f>
        <v/>
      </c>
      <c r="J221" s="6" t="str">
        <f>IFERROR(INDEX(tblProducts[建議售價],MATCH(tblSales[[#This Row],[SKU]],tblProducts[SKU],0)),"")</f>
        <v/>
      </c>
      <c r="M221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222" spans="4:13" ht="19.95" customHeight="1">
      <c r="D222" t="str">
        <f>IFERROR(INDEX(tblCRM[姓名／稱呼],MATCH(tblSales[[#This Row],[客戶ID]],tblCRM[客戶ID],0)),"")</f>
        <v/>
      </c>
      <c r="H222" t="str">
        <f>IFERROR(INDEX(tblProducts[正式名稱],MATCH(tblSales[[#This Row],[SKU]],tblProducts[SKU],0)),"")</f>
        <v/>
      </c>
      <c r="J222" s="6" t="str">
        <f>IFERROR(INDEX(tblProducts[建議售價],MATCH(tblSales[[#This Row],[SKU]],tblProducts[SKU],0)),"")</f>
        <v/>
      </c>
      <c r="M222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223" spans="4:13" ht="19.95" customHeight="1">
      <c r="D223" t="str">
        <f>IFERROR(INDEX(tblCRM[姓名／稱呼],MATCH(tblSales[[#This Row],[客戶ID]],tblCRM[客戶ID],0)),"")</f>
        <v/>
      </c>
      <c r="H223" t="str">
        <f>IFERROR(INDEX(tblProducts[正式名稱],MATCH(tblSales[[#This Row],[SKU]],tblProducts[SKU],0)),"")</f>
        <v/>
      </c>
      <c r="J223" s="6" t="str">
        <f>IFERROR(INDEX(tblProducts[建議售價],MATCH(tblSales[[#This Row],[SKU]],tblProducts[SKU],0)),"")</f>
        <v/>
      </c>
      <c r="M223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224" spans="4:13" ht="19.95" customHeight="1">
      <c r="D224" t="str">
        <f>IFERROR(INDEX(tblCRM[姓名／稱呼],MATCH(tblSales[[#This Row],[客戶ID]],tblCRM[客戶ID],0)),"")</f>
        <v/>
      </c>
      <c r="H224" t="str">
        <f>IFERROR(INDEX(tblProducts[正式名稱],MATCH(tblSales[[#This Row],[SKU]],tblProducts[SKU],0)),"")</f>
        <v/>
      </c>
      <c r="J224" s="6" t="str">
        <f>IFERROR(INDEX(tblProducts[建議售價],MATCH(tblSales[[#This Row],[SKU]],tblProducts[SKU],0)),"")</f>
        <v/>
      </c>
      <c r="M224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225" spans="4:13" ht="19.95" customHeight="1">
      <c r="D225" t="str">
        <f>IFERROR(INDEX(tblCRM[姓名／稱呼],MATCH(tblSales[[#This Row],[客戶ID]],tblCRM[客戶ID],0)),"")</f>
        <v/>
      </c>
      <c r="H225" t="str">
        <f>IFERROR(INDEX(tblProducts[正式名稱],MATCH(tblSales[[#This Row],[SKU]],tblProducts[SKU],0)),"")</f>
        <v/>
      </c>
      <c r="J225" s="6" t="str">
        <f>IFERROR(INDEX(tblProducts[建議售價],MATCH(tblSales[[#This Row],[SKU]],tblProducts[SKU],0)),"")</f>
        <v/>
      </c>
      <c r="M225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226" spans="4:13" ht="19.95" customHeight="1">
      <c r="D226" t="str">
        <f>IFERROR(INDEX(tblCRM[姓名／稱呼],MATCH(tblSales[[#This Row],[客戶ID]],tblCRM[客戶ID],0)),"")</f>
        <v/>
      </c>
      <c r="H226" t="str">
        <f>IFERROR(INDEX(tblProducts[正式名稱],MATCH(tblSales[[#This Row],[SKU]],tblProducts[SKU],0)),"")</f>
        <v/>
      </c>
      <c r="J226" s="6" t="str">
        <f>IFERROR(INDEX(tblProducts[建議售價],MATCH(tblSales[[#This Row],[SKU]],tblProducts[SKU],0)),"")</f>
        <v/>
      </c>
      <c r="M226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227" spans="4:13" ht="19.95" customHeight="1">
      <c r="D227" t="str">
        <f>IFERROR(INDEX(tblCRM[姓名／稱呼],MATCH(tblSales[[#This Row],[客戶ID]],tblCRM[客戶ID],0)),"")</f>
        <v/>
      </c>
      <c r="H227" t="str">
        <f>IFERROR(INDEX(tblProducts[正式名稱],MATCH(tblSales[[#This Row],[SKU]],tblProducts[SKU],0)),"")</f>
        <v/>
      </c>
      <c r="J227" s="6" t="str">
        <f>IFERROR(INDEX(tblProducts[建議售價],MATCH(tblSales[[#This Row],[SKU]],tblProducts[SKU],0)),"")</f>
        <v/>
      </c>
      <c r="M227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228" spans="4:13" ht="19.95" customHeight="1">
      <c r="D228" t="str">
        <f>IFERROR(INDEX(tblCRM[姓名／稱呼],MATCH(tblSales[[#This Row],[客戶ID]],tblCRM[客戶ID],0)),"")</f>
        <v/>
      </c>
      <c r="H228" t="str">
        <f>IFERROR(INDEX(tblProducts[正式名稱],MATCH(tblSales[[#This Row],[SKU]],tblProducts[SKU],0)),"")</f>
        <v/>
      </c>
      <c r="J228" s="6" t="str">
        <f>IFERROR(INDEX(tblProducts[建議售價],MATCH(tblSales[[#This Row],[SKU]],tblProducts[SKU],0)),"")</f>
        <v/>
      </c>
      <c r="M228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229" spans="4:13" ht="19.95" customHeight="1">
      <c r="D229" t="str">
        <f>IFERROR(INDEX(tblCRM[姓名／稱呼],MATCH(tblSales[[#This Row],[客戶ID]],tblCRM[客戶ID],0)),"")</f>
        <v/>
      </c>
      <c r="H229" t="str">
        <f>IFERROR(INDEX(tblProducts[正式名稱],MATCH(tblSales[[#This Row],[SKU]],tblProducts[SKU],0)),"")</f>
        <v/>
      </c>
      <c r="J229" s="6" t="str">
        <f>IFERROR(INDEX(tblProducts[建議售價],MATCH(tblSales[[#This Row],[SKU]],tblProducts[SKU],0)),"")</f>
        <v/>
      </c>
      <c r="M229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230" spans="4:13" ht="19.95" customHeight="1">
      <c r="D230" t="str">
        <f>IFERROR(INDEX(tblCRM[姓名／稱呼],MATCH(tblSales[[#This Row],[客戶ID]],tblCRM[客戶ID],0)),"")</f>
        <v/>
      </c>
      <c r="H230" t="str">
        <f>IFERROR(INDEX(tblProducts[正式名稱],MATCH(tblSales[[#This Row],[SKU]],tblProducts[SKU],0)),"")</f>
        <v/>
      </c>
      <c r="J230" s="6" t="str">
        <f>IFERROR(INDEX(tblProducts[建議售價],MATCH(tblSales[[#This Row],[SKU]],tblProducts[SKU],0)),"")</f>
        <v/>
      </c>
      <c r="M230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231" spans="4:13" ht="19.95" customHeight="1">
      <c r="D231" t="str">
        <f>IFERROR(INDEX(tblCRM[姓名／稱呼],MATCH(tblSales[[#This Row],[客戶ID]],tblCRM[客戶ID],0)),"")</f>
        <v/>
      </c>
      <c r="H231" t="str">
        <f>IFERROR(INDEX(tblProducts[正式名稱],MATCH(tblSales[[#This Row],[SKU]],tblProducts[SKU],0)),"")</f>
        <v/>
      </c>
      <c r="J231" s="6" t="str">
        <f>IFERROR(INDEX(tblProducts[建議售價],MATCH(tblSales[[#This Row],[SKU]],tblProducts[SKU],0)),"")</f>
        <v/>
      </c>
      <c r="M231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232" spans="4:13" ht="19.95" customHeight="1">
      <c r="D232" t="str">
        <f>IFERROR(INDEX(tblCRM[姓名／稱呼],MATCH(tblSales[[#This Row],[客戶ID]],tblCRM[客戶ID],0)),"")</f>
        <v/>
      </c>
      <c r="H232" t="str">
        <f>IFERROR(INDEX(tblProducts[正式名稱],MATCH(tblSales[[#This Row],[SKU]],tblProducts[SKU],0)),"")</f>
        <v/>
      </c>
      <c r="J232" s="6" t="str">
        <f>IFERROR(INDEX(tblProducts[建議售價],MATCH(tblSales[[#This Row],[SKU]],tblProducts[SKU],0)),"")</f>
        <v/>
      </c>
      <c r="M232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233" spans="4:13" ht="19.95" customHeight="1">
      <c r="D233" t="str">
        <f>IFERROR(INDEX(tblCRM[姓名／稱呼],MATCH(tblSales[[#This Row],[客戶ID]],tblCRM[客戶ID],0)),"")</f>
        <v/>
      </c>
      <c r="H233" t="str">
        <f>IFERROR(INDEX(tblProducts[正式名稱],MATCH(tblSales[[#This Row],[SKU]],tblProducts[SKU],0)),"")</f>
        <v/>
      </c>
      <c r="J233" s="6" t="str">
        <f>IFERROR(INDEX(tblProducts[建議售價],MATCH(tblSales[[#This Row],[SKU]],tblProducts[SKU],0)),"")</f>
        <v/>
      </c>
      <c r="M233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234" spans="4:13" ht="19.95" customHeight="1">
      <c r="D234" t="str">
        <f>IFERROR(INDEX(tblCRM[姓名／稱呼],MATCH(tblSales[[#This Row],[客戶ID]],tblCRM[客戶ID],0)),"")</f>
        <v/>
      </c>
      <c r="H234" t="str">
        <f>IFERROR(INDEX(tblProducts[正式名稱],MATCH(tblSales[[#This Row],[SKU]],tblProducts[SKU],0)),"")</f>
        <v/>
      </c>
      <c r="J234" s="6" t="str">
        <f>IFERROR(INDEX(tblProducts[建議售價],MATCH(tblSales[[#This Row],[SKU]],tblProducts[SKU],0)),"")</f>
        <v/>
      </c>
      <c r="M234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235" spans="4:13" ht="19.95" customHeight="1">
      <c r="D235" t="str">
        <f>IFERROR(INDEX(tblCRM[姓名／稱呼],MATCH(tblSales[[#This Row],[客戶ID]],tblCRM[客戶ID],0)),"")</f>
        <v/>
      </c>
      <c r="H235" t="str">
        <f>IFERROR(INDEX(tblProducts[正式名稱],MATCH(tblSales[[#This Row],[SKU]],tblProducts[SKU],0)),"")</f>
        <v/>
      </c>
      <c r="J235" s="6" t="str">
        <f>IFERROR(INDEX(tblProducts[建議售價],MATCH(tblSales[[#This Row],[SKU]],tblProducts[SKU],0)),"")</f>
        <v/>
      </c>
      <c r="M235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236" spans="4:13" ht="19.95" customHeight="1">
      <c r="D236" t="str">
        <f>IFERROR(INDEX(tblCRM[姓名／稱呼],MATCH(tblSales[[#This Row],[客戶ID]],tblCRM[客戶ID],0)),"")</f>
        <v/>
      </c>
      <c r="H236" t="str">
        <f>IFERROR(INDEX(tblProducts[正式名稱],MATCH(tblSales[[#This Row],[SKU]],tblProducts[SKU],0)),"")</f>
        <v/>
      </c>
      <c r="J236" s="6" t="str">
        <f>IFERROR(INDEX(tblProducts[建議售價],MATCH(tblSales[[#This Row],[SKU]],tblProducts[SKU],0)),"")</f>
        <v/>
      </c>
      <c r="M236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237" spans="4:13" ht="19.95" customHeight="1">
      <c r="D237" t="str">
        <f>IFERROR(INDEX(tblCRM[姓名／稱呼],MATCH(tblSales[[#This Row],[客戶ID]],tblCRM[客戶ID],0)),"")</f>
        <v/>
      </c>
      <c r="H237" t="str">
        <f>IFERROR(INDEX(tblProducts[正式名稱],MATCH(tblSales[[#This Row],[SKU]],tblProducts[SKU],0)),"")</f>
        <v/>
      </c>
      <c r="J237" s="6" t="str">
        <f>IFERROR(INDEX(tblProducts[建議售價],MATCH(tblSales[[#This Row],[SKU]],tblProducts[SKU],0)),"")</f>
        <v/>
      </c>
      <c r="M237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238" spans="4:13" ht="19.95" customHeight="1">
      <c r="D238" t="str">
        <f>IFERROR(INDEX(tblCRM[姓名／稱呼],MATCH(tblSales[[#This Row],[客戶ID]],tblCRM[客戶ID],0)),"")</f>
        <v/>
      </c>
      <c r="H238" t="str">
        <f>IFERROR(INDEX(tblProducts[正式名稱],MATCH(tblSales[[#This Row],[SKU]],tblProducts[SKU],0)),"")</f>
        <v/>
      </c>
      <c r="J238" s="6" t="str">
        <f>IFERROR(INDEX(tblProducts[建議售價],MATCH(tblSales[[#This Row],[SKU]],tblProducts[SKU],0)),"")</f>
        <v/>
      </c>
      <c r="M238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239" spans="4:13" ht="19.95" customHeight="1">
      <c r="D239" t="str">
        <f>IFERROR(INDEX(tblCRM[姓名／稱呼],MATCH(tblSales[[#This Row],[客戶ID]],tblCRM[客戶ID],0)),"")</f>
        <v/>
      </c>
      <c r="H239" t="str">
        <f>IFERROR(INDEX(tblProducts[正式名稱],MATCH(tblSales[[#This Row],[SKU]],tblProducts[SKU],0)),"")</f>
        <v/>
      </c>
      <c r="J239" s="6" t="str">
        <f>IFERROR(INDEX(tblProducts[建議售價],MATCH(tblSales[[#This Row],[SKU]],tblProducts[SKU],0)),"")</f>
        <v/>
      </c>
      <c r="M239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240" spans="4:13" ht="19.95" customHeight="1">
      <c r="D240" t="str">
        <f>IFERROR(INDEX(tblCRM[姓名／稱呼],MATCH(tblSales[[#This Row],[客戶ID]],tblCRM[客戶ID],0)),"")</f>
        <v/>
      </c>
      <c r="H240" t="str">
        <f>IFERROR(INDEX(tblProducts[正式名稱],MATCH(tblSales[[#This Row],[SKU]],tblProducts[SKU],0)),"")</f>
        <v/>
      </c>
      <c r="J240" s="6" t="str">
        <f>IFERROR(INDEX(tblProducts[建議售價],MATCH(tblSales[[#This Row],[SKU]],tblProducts[SKU],0)),"")</f>
        <v/>
      </c>
      <c r="M240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241" spans="4:13" ht="19.95" customHeight="1">
      <c r="D241" t="str">
        <f>IFERROR(INDEX(tblCRM[姓名／稱呼],MATCH(tblSales[[#This Row],[客戶ID]],tblCRM[客戶ID],0)),"")</f>
        <v/>
      </c>
      <c r="H241" t="str">
        <f>IFERROR(INDEX(tblProducts[正式名稱],MATCH(tblSales[[#This Row],[SKU]],tblProducts[SKU],0)),"")</f>
        <v/>
      </c>
      <c r="J241" s="6" t="str">
        <f>IFERROR(INDEX(tblProducts[建議售價],MATCH(tblSales[[#This Row],[SKU]],tblProducts[SKU],0)),"")</f>
        <v/>
      </c>
      <c r="M241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242" spans="4:13" ht="19.95" customHeight="1">
      <c r="D242" t="str">
        <f>IFERROR(INDEX(tblCRM[姓名／稱呼],MATCH(tblSales[[#This Row],[客戶ID]],tblCRM[客戶ID],0)),"")</f>
        <v/>
      </c>
      <c r="H242" t="str">
        <f>IFERROR(INDEX(tblProducts[正式名稱],MATCH(tblSales[[#This Row],[SKU]],tblProducts[SKU],0)),"")</f>
        <v/>
      </c>
      <c r="J242" s="6" t="str">
        <f>IFERROR(INDEX(tblProducts[建議售價],MATCH(tblSales[[#This Row],[SKU]],tblProducts[SKU],0)),"")</f>
        <v/>
      </c>
      <c r="M242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243" spans="4:13" ht="19.95" customHeight="1">
      <c r="D243" t="str">
        <f>IFERROR(INDEX(tblCRM[姓名／稱呼],MATCH(tblSales[[#This Row],[客戶ID]],tblCRM[客戶ID],0)),"")</f>
        <v/>
      </c>
      <c r="H243" t="str">
        <f>IFERROR(INDEX(tblProducts[正式名稱],MATCH(tblSales[[#This Row],[SKU]],tblProducts[SKU],0)),"")</f>
        <v/>
      </c>
      <c r="J243" s="6" t="str">
        <f>IFERROR(INDEX(tblProducts[建議售價],MATCH(tblSales[[#This Row],[SKU]],tblProducts[SKU],0)),"")</f>
        <v/>
      </c>
      <c r="M243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244" spans="4:13" ht="19.95" customHeight="1">
      <c r="D244" t="str">
        <f>IFERROR(INDEX(tblCRM[姓名／稱呼],MATCH(tblSales[[#This Row],[客戶ID]],tblCRM[客戶ID],0)),"")</f>
        <v/>
      </c>
      <c r="H244" t="str">
        <f>IFERROR(INDEX(tblProducts[正式名稱],MATCH(tblSales[[#This Row],[SKU]],tblProducts[SKU],0)),"")</f>
        <v/>
      </c>
      <c r="J244" s="6" t="str">
        <f>IFERROR(INDEX(tblProducts[建議售價],MATCH(tblSales[[#This Row],[SKU]],tblProducts[SKU],0)),"")</f>
        <v/>
      </c>
      <c r="M244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245" spans="4:13" ht="19.95" customHeight="1">
      <c r="D245" t="str">
        <f>IFERROR(INDEX(tblCRM[姓名／稱呼],MATCH(tblSales[[#This Row],[客戶ID]],tblCRM[客戶ID],0)),"")</f>
        <v/>
      </c>
      <c r="H245" t="str">
        <f>IFERROR(INDEX(tblProducts[正式名稱],MATCH(tblSales[[#This Row],[SKU]],tblProducts[SKU],0)),"")</f>
        <v/>
      </c>
      <c r="J245" s="6" t="str">
        <f>IFERROR(INDEX(tblProducts[建議售價],MATCH(tblSales[[#This Row],[SKU]],tblProducts[SKU],0)),"")</f>
        <v/>
      </c>
      <c r="M245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246" spans="4:13" ht="19.95" customHeight="1">
      <c r="D246" t="str">
        <f>IFERROR(INDEX(tblCRM[姓名／稱呼],MATCH(tblSales[[#This Row],[客戶ID]],tblCRM[客戶ID],0)),"")</f>
        <v/>
      </c>
      <c r="H246" t="str">
        <f>IFERROR(INDEX(tblProducts[正式名稱],MATCH(tblSales[[#This Row],[SKU]],tblProducts[SKU],0)),"")</f>
        <v/>
      </c>
      <c r="J246" s="6" t="str">
        <f>IFERROR(INDEX(tblProducts[建議售價],MATCH(tblSales[[#This Row],[SKU]],tblProducts[SKU],0)),"")</f>
        <v/>
      </c>
      <c r="M246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247" spans="4:13" ht="19.95" customHeight="1">
      <c r="D247" t="str">
        <f>IFERROR(INDEX(tblCRM[姓名／稱呼],MATCH(tblSales[[#This Row],[客戶ID]],tblCRM[客戶ID],0)),"")</f>
        <v/>
      </c>
      <c r="H247" t="str">
        <f>IFERROR(INDEX(tblProducts[正式名稱],MATCH(tblSales[[#This Row],[SKU]],tblProducts[SKU],0)),"")</f>
        <v/>
      </c>
      <c r="J247" s="6" t="str">
        <f>IFERROR(INDEX(tblProducts[建議售價],MATCH(tblSales[[#This Row],[SKU]],tblProducts[SKU],0)),"")</f>
        <v/>
      </c>
      <c r="M247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248" spans="4:13" ht="19.95" customHeight="1">
      <c r="D248" t="str">
        <f>IFERROR(INDEX(tblCRM[姓名／稱呼],MATCH(tblSales[[#This Row],[客戶ID]],tblCRM[客戶ID],0)),"")</f>
        <v/>
      </c>
      <c r="H248" t="str">
        <f>IFERROR(INDEX(tblProducts[正式名稱],MATCH(tblSales[[#This Row],[SKU]],tblProducts[SKU],0)),"")</f>
        <v/>
      </c>
      <c r="J248" s="6" t="str">
        <f>IFERROR(INDEX(tblProducts[建議售價],MATCH(tblSales[[#This Row],[SKU]],tblProducts[SKU],0)),"")</f>
        <v/>
      </c>
      <c r="M248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249" spans="4:13" ht="19.95" customHeight="1">
      <c r="D249" t="str">
        <f>IFERROR(INDEX(tblCRM[姓名／稱呼],MATCH(tblSales[[#This Row],[客戶ID]],tblCRM[客戶ID],0)),"")</f>
        <v/>
      </c>
      <c r="H249" t="str">
        <f>IFERROR(INDEX(tblProducts[正式名稱],MATCH(tblSales[[#This Row],[SKU]],tblProducts[SKU],0)),"")</f>
        <v/>
      </c>
      <c r="J249" s="6" t="str">
        <f>IFERROR(INDEX(tblProducts[建議售價],MATCH(tblSales[[#This Row],[SKU]],tblProducts[SKU],0)),"")</f>
        <v/>
      </c>
      <c r="M249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250" spans="4:13" ht="19.95" customHeight="1">
      <c r="D250" t="str">
        <f>IFERROR(INDEX(tblCRM[姓名／稱呼],MATCH(tblSales[[#This Row],[客戶ID]],tblCRM[客戶ID],0)),"")</f>
        <v/>
      </c>
      <c r="H250" t="str">
        <f>IFERROR(INDEX(tblProducts[正式名稱],MATCH(tblSales[[#This Row],[SKU]],tblProducts[SKU],0)),"")</f>
        <v/>
      </c>
      <c r="J250" s="6" t="str">
        <f>IFERROR(INDEX(tblProducts[建議售價],MATCH(tblSales[[#This Row],[SKU]],tblProducts[SKU],0)),"")</f>
        <v/>
      </c>
      <c r="M250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251" spans="4:13" ht="19.95" customHeight="1">
      <c r="D251" t="str">
        <f>IFERROR(INDEX(tblCRM[姓名／稱呼],MATCH(tblSales[[#This Row],[客戶ID]],tblCRM[客戶ID],0)),"")</f>
        <v/>
      </c>
      <c r="H251" t="str">
        <f>IFERROR(INDEX(tblProducts[正式名稱],MATCH(tblSales[[#This Row],[SKU]],tblProducts[SKU],0)),"")</f>
        <v/>
      </c>
      <c r="J251" s="6" t="str">
        <f>IFERROR(INDEX(tblProducts[建議售價],MATCH(tblSales[[#This Row],[SKU]],tblProducts[SKU],0)),"")</f>
        <v/>
      </c>
      <c r="M251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252" spans="4:13" ht="19.95" customHeight="1">
      <c r="D252" t="str">
        <f>IFERROR(INDEX(tblCRM[姓名／稱呼],MATCH(tblSales[[#This Row],[客戶ID]],tblCRM[客戶ID],0)),"")</f>
        <v/>
      </c>
      <c r="H252" t="str">
        <f>IFERROR(INDEX(tblProducts[正式名稱],MATCH(tblSales[[#This Row],[SKU]],tblProducts[SKU],0)),"")</f>
        <v/>
      </c>
      <c r="J252" s="6" t="str">
        <f>IFERROR(INDEX(tblProducts[建議售價],MATCH(tblSales[[#This Row],[SKU]],tblProducts[SKU],0)),"")</f>
        <v/>
      </c>
      <c r="M252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253" spans="4:13" ht="19.95" customHeight="1">
      <c r="D253" t="str">
        <f>IFERROR(INDEX(tblCRM[姓名／稱呼],MATCH(tblSales[[#This Row],[客戶ID]],tblCRM[客戶ID],0)),"")</f>
        <v/>
      </c>
      <c r="H253" t="str">
        <f>IFERROR(INDEX(tblProducts[正式名稱],MATCH(tblSales[[#This Row],[SKU]],tblProducts[SKU],0)),"")</f>
        <v/>
      </c>
      <c r="J253" s="6" t="str">
        <f>IFERROR(INDEX(tblProducts[建議售價],MATCH(tblSales[[#This Row],[SKU]],tblProducts[SKU],0)),"")</f>
        <v/>
      </c>
      <c r="M253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254" spans="4:13" ht="19.95" customHeight="1">
      <c r="D254" t="str">
        <f>IFERROR(INDEX(tblCRM[姓名／稱呼],MATCH(tblSales[[#This Row],[客戶ID]],tblCRM[客戶ID],0)),"")</f>
        <v/>
      </c>
      <c r="H254" t="str">
        <f>IFERROR(INDEX(tblProducts[正式名稱],MATCH(tblSales[[#This Row],[SKU]],tblProducts[SKU],0)),"")</f>
        <v/>
      </c>
      <c r="J254" s="6" t="str">
        <f>IFERROR(INDEX(tblProducts[建議售價],MATCH(tblSales[[#This Row],[SKU]],tblProducts[SKU],0)),"")</f>
        <v/>
      </c>
      <c r="M254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255" spans="4:13" ht="19.95" customHeight="1">
      <c r="D255" t="str">
        <f>IFERROR(INDEX(tblCRM[姓名／稱呼],MATCH(tblSales[[#This Row],[客戶ID]],tblCRM[客戶ID],0)),"")</f>
        <v/>
      </c>
      <c r="H255" t="str">
        <f>IFERROR(INDEX(tblProducts[正式名稱],MATCH(tblSales[[#This Row],[SKU]],tblProducts[SKU],0)),"")</f>
        <v/>
      </c>
      <c r="J255" s="6" t="str">
        <f>IFERROR(INDEX(tblProducts[建議售價],MATCH(tblSales[[#This Row],[SKU]],tblProducts[SKU],0)),"")</f>
        <v/>
      </c>
      <c r="M255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256" spans="4:13" ht="19.95" customHeight="1">
      <c r="D256" t="str">
        <f>IFERROR(INDEX(tblCRM[姓名／稱呼],MATCH(tblSales[[#This Row],[客戶ID]],tblCRM[客戶ID],0)),"")</f>
        <v/>
      </c>
      <c r="H256" t="str">
        <f>IFERROR(INDEX(tblProducts[正式名稱],MATCH(tblSales[[#This Row],[SKU]],tblProducts[SKU],0)),"")</f>
        <v/>
      </c>
      <c r="J256" s="6" t="str">
        <f>IFERROR(INDEX(tblProducts[建議售價],MATCH(tblSales[[#This Row],[SKU]],tblProducts[SKU],0)),"")</f>
        <v/>
      </c>
      <c r="M256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257" spans="4:13" ht="19.95" customHeight="1">
      <c r="D257" t="str">
        <f>IFERROR(INDEX(tblCRM[姓名／稱呼],MATCH(tblSales[[#This Row],[客戶ID]],tblCRM[客戶ID],0)),"")</f>
        <v/>
      </c>
      <c r="H257" t="str">
        <f>IFERROR(INDEX(tblProducts[正式名稱],MATCH(tblSales[[#This Row],[SKU]],tblProducts[SKU],0)),"")</f>
        <v/>
      </c>
      <c r="J257" s="6" t="str">
        <f>IFERROR(INDEX(tblProducts[建議售價],MATCH(tblSales[[#This Row],[SKU]],tblProducts[SKU],0)),"")</f>
        <v/>
      </c>
      <c r="M257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258" spans="4:13" ht="19.95" customHeight="1">
      <c r="D258" t="str">
        <f>IFERROR(INDEX(tblCRM[姓名／稱呼],MATCH(tblSales[[#This Row],[客戶ID]],tblCRM[客戶ID],0)),"")</f>
        <v/>
      </c>
      <c r="H258" t="str">
        <f>IFERROR(INDEX(tblProducts[正式名稱],MATCH(tblSales[[#This Row],[SKU]],tblProducts[SKU],0)),"")</f>
        <v/>
      </c>
      <c r="J258" s="6" t="str">
        <f>IFERROR(INDEX(tblProducts[建議售價],MATCH(tblSales[[#This Row],[SKU]],tblProducts[SKU],0)),"")</f>
        <v/>
      </c>
      <c r="M258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259" spans="4:13" ht="19.95" customHeight="1">
      <c r="D259" t="str">
        <f>IFERROR(INDEX(tblCRM[姓名／稱呼],MATCH(tblSales[[#This Row],[客戶ID]],tblCRM[客戶ID],0)),"")</f>
        <v/>
      </c>
      <c r="H259" t="str">
        <f>IFERROR(INDEX(tblProducts[正式名稱],MATCH(tblSales[[#This Row],[SKU]],tblProducts[SKU],0)),"")</f>
        <v/>
      </c>
      <c r="J259" s="6" t="str">
        <f>IFERROR(INDEX(tblProducts[建議售價],MATCH(tblSales[[#This Row],[SKU]],tblProducts[SKU],0)),"")</f>
        <v/>
      </c>
      <c r="M259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260" spans="4:13" ht="19.95" customHeight="1">
      <c r="D260" t="str">
        <f>IFERROR(INDEX(tblCRM[姓名／稱呼],MATCH(tblSales[[#This Row],[客戶ID]],tblCRM[客戶ID],0)),"")</f>
        <v/>
      </c>
      <c r="H260" t="str">
        <f>IFERROR(INDEX(tblProducts[正式名稱],MATCH(tblSales[[#This Row],[SKU]],tblProducts[SKU],0)),"")</f>
        <v/>
      </c>
      <c r="J260" s="6" t="str">
        <f>IFERROR(INDEX(tblProducts[建議售價],MATCH(tblSales[[#This Row],[SKU]],tblProducts[SKU],0)),"")</f>
        <v/>
      </c>
      <c r="M260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261" spans="4:13" ht="19.95" customHeight="1">
      <c r="D261" t="str">
        <f>IFERROR(INDEX(tblCRM[姓名／稱呼],MATCH(tblSales[[#This Row],[客戶ID]],tblCRM[客戶ID],0)),"")</f>
        <v/>
      </c>
      <c r="H261" t="str">
        <f>IFERROR(INDEX(tblProducts[正式名稱],MATCH(tblSales[[#This Row],[SKU]],tblProducts[SKU],0)),"")</f>
        <v/>
      </c>
      <c r="J261" s="6" t="str">
        <f>IFERROR(INDEX(tblProducts[建議售價],MATCH(tblSales[[#This Row],[SKU]],tblProducts[SKU],0)),"")</f>
        <v/>
      </c>
      <c r="M261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262" spans="4:13" ht="19.95" customHeight="1">
      <c r="D262" t="str">
        <f>IFERROR(INDEX(tblCRM[姓名／稱呼],MATCH(tblSales[[#This Row],[客戶ID]],tblCRM[客戶ID],0)),"")</f>
        <v/>
      </c>
      <c r="H262" t="str">
        <f>IFERROR(INDEX(tblProducts[正式名稱],MATCH(tblSales[[#This Row],[SKU]],tblProducts[SKU],0)),"")</f>
        <v/>
      </c>
      <c r="J262" s="6" t="str">
        <f>IFERROR(INDEX(tblProducts[建議售價],MATCH(tblSales[[#This Row],[SKU]],tblProducts[SKU],0)),"")</f>
        <v/>
      </c>
      <c r="M262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263" spans="4:13" ht="19.95" customHeight="1">
      <c r="D263" t="str">
        <f>IFERROR(INDEX(tblCRM[姓名／稱呼],MATCH(tblSales[[#This Row],[客戶ID]],tblCRM[客戶ID],0)),"")</f>
        <v/>
      </c>
      <c r="H263" t="str">
        <f>IFERROR(INDEX(tblProducts[正式名稱],MATCH(tblSales[[#This Row],[SKU]],tblProducts[SKU],0)),"")</f>
        <v/>
      </c>
      <c r="J263" s="6" t="str">
        <f>IFERROR(INDEX(tblProducts[建議售價],MATCH(tblSales[[#This Row],[SKU]],tblProducts[SKU],0)),"")</f>
        <v/>
      </c>
      <c r="M263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264" spans="4:13" ht="19.95" customHeight="1">
      <c r="D264" t="str">
        <f>IFERROR(INDEX(tblCRM[姓名／稱呼],MATCH(tblSales[[#This Row],[客戶ID]],tblCRM[客戶ID],0)),"")</f>
        <v/>
      </c>
      <c r="H264" t="str">
        <f>IFERROR(INDEX(tblProducts[正式名稱],MATCH(tblSales[[#This Row],[SKU]],tblProducts[SKU],0)),"")</f>
        <v/>
      </c>
      <c r="J264" s="6" t="str">
        <f>IFERROR(INDEX(tblProducts[建議售價],MATCH(tblSales[[#This Row],[SKU]],tblProducts[SKU],0)),"")</f>
        <v/>
      </c>
      <c r="M264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265" spans="4:13" ht="19.95" customHeight="1">
      <c r="D265" t="str">
        <f>IFERROR(INDEX(tblCRM[姓名／稱呼],MATCH(tblSales[[#This Row],[客戶ID]],tblCRM[客戶ID],0)),"")</f>
        <v/>
      </c>
      <c r="H265" t="str">
        <f>IFERROR(INDEX(tblProducts[正式名稱],MATCH(tblSales[[#This Row],[SKU]],tblProducts[SKU],0)),"")</f>
        <v/>
      </c>
      <c r="J265" s="6" t="str">
        <f>IFERROR(INDEX(tblProducts[建議售價],MATCH(tblSales[[#This Row],[SKU]],tblProducts[SKU],0)),"")</f>
        <v/>
      </c>
      <c r="M265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266" spans="4:13" ht="19.95" customHeight="1">
      <c r="D266" t="str">
        <f>IFERROR(INDEX(tblCRM[姓名／稱呼],MATCH(tblSales[[#This Row],[客戶ID]],tblCRM[客戶ID],0)),"")</f>
        <v/>
      </c>
      <c r="H266" t="str">
        <f>IFERROR(INDEX(tblProducts[正式名稱],MATCH(tblSales[[#This Row],[SKU]],tblProducts[SKU],0)),"")</f>
        <v/>
      </c>
      <c r="J266" s="6" t="str">
        <f>IFERROR(INDEX(tblProducts[建議售價],MATCH(tblSales[[#This Row],[SKU]],tblProducts[SKU],0)),"")</f>
        <v/>
      </c>
      <c r="M266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267" spans="4:13" ht="19.95" customHeight="1">
      <c r="D267" t="str">
        <f>IFERROR(INDEX(tblCRM[姓名／稱呼],MATCH(tblSales[[#This Row],[客戶ID]],tblCRM[客戶ID],0)),"")</f>
        <v/>
      </c>
      <c r="H267" t="str">
        <f>IFERROR(INDEX(tblProducts[正式名稱],MATCH(tblSales[[#This Row],[SKU]],tblProducts[SKU],0)),"")</f>
        <v/>
      </c>
      <c r="J267" s="6" t="str">
        <f>IFERROR(INDEX(tblProducts[建議售價],MATCH(tblSales[[#This Row],[SKU]],tblProducts[SKU],0)),"")</f>
        <v/>
      </c>
      <c r="M267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268" spans="4:13" ht="19.95" customHeight="1">
      <c r="D268" t="str">
        <f>IFERROR(INDEX(tblCRM[姓名／稱呼],MATCH(tblSales[[#This Row],[客戶ID]],tblCRM[客戶ID],0)),"")</f>
        <v/>
      </c>
      <c r="H268" t="str">
        <f>IFERROR(INDEX(tblProducts[正式名稱],MATCH(tblSales[[#This Row],[SKU]],tblProducts[SKU],0)),"")</f>
        <v/>
      </c>
      <c r="J268" s="6" t="str">
        <f>IFERROR(INDEX(tblProducts[建議售價],MATCH(tblSales[[#This Row],[SKU]],tblProducts[SKU],0)),"")</f>
        <v/>
      </c>
      <c r="M268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269" spans="4:13" ht="19.95" customHeight="1">
      <c r="D269" t="str">
        <f>IFERROR(INDEX(tblCRM[姓名／稱呼],MATCH(tblSales[[#This Row],[客戶ID]],tblCRM[客戶ID],0)),"")</f>
        <v/>
      </c>
      <c r="H269" t="str">
        <f>IFERROR(INDEX(tblProducts[正式名稱],MATCH(tblSales[[#This Row],[SKU]],tblProducts[SKU],0)),"")</f>
        <v/>
      </c>
      <c r="J269" s="6" t="str">
        <f>IFERROR(INDEX(tblProducts[建議售價],MATCH(tblSales[[#This Row],[SKU]],tblProducts[SKU],0)),"")</f>
        <v/>
      </c>
      <c r="M269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270" spans="4:13" ht="19.95" customHeight="1">
      <c r="D270" t="str">
        <f>IFERROR(INDEX(tblCRM[姓名／稱呼],MATCH(tblSales[[#This Row],[客戶ID]],tblCRM[客戶ID],0)),"")</f>
        <v/>
      </c>
      <c r="H270" t="str">
        <f>IFERROR(INDEX(tblProducts[正式名稱],MATCH(tblSales[[#This Row],[SKU]],tblProducts[SKU],0)),"")</f>
        <v/>
      </c>
      <c r="J270" s="6" t="str">
        <f>IFERROR(INDEX(tblProducts[建議售價],MATCH(tblSales[[#This Row],[SKU]],tblProducts[SKU],0)),"")</f>
        <v/>
      </c>
      <c r="M270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271" spans="4:13" ht="19.95" customHeight="1">
      <c r="D271" t="str">
        <f>IFERROR(INDEX(tblCRM[姓名／稱呼],MATCH(tblSales[[#This Row],[客戶ID]],tblCRM[客戶ID],0)),"")</f>
        <v/>
      </c>
      <c r="H271" t="str">
        <f>IFERROR(INDEX(tblProducts[正式名稱],MATCH(tblSales[[#This Row],[SKU]],tblProducts[SKU],0)),"")</f>
        <v/>
      </c>
      <c r="J271" s="6" t="str">
        <f>IFERROR(INDEX(tblProducts[建議售價],MATCH(tblSales[[#This Row],[SKU]],tblProducts[SKU],0)),"")</f>
        <v/>
      </c>
      <c r="M271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272" spans="4:13" ht="19.95" customHeight="1">
      <c r="D272" t="str">
        <f>IFERROR(INDEX(tblCRM[姓名／稱呼],MATCH(tblSales[[#This Row],[客戶ID]],tblCRM[客戶ID],0)),"")</f>
        <v/>
      </c>
      <c r="H272" t="str">
        <f>IFERROR(INDEX(tblProducts[正式名稱],MATCH(tblSales[[#This Row],[SKU]],tblProducts[SKU],0)),"")</f>
        <v/>
      </c>
      <c r="J272" s="6" t="str">
        <f>IFERROR(INDEX(tblProducts[建議售價],MATCH(tblSales[[#This Row],[SKU]],tblProducts[SKU],0)),"")</f>
        <v/>
      </c>
      <c r="M272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273" spans="4:13" ht="19.95" customHeight="1">
      <c r="D273" t="str">
        <f>IFERROR(INDEX(tblCRM[姓名／稱呼],MATCH(tblSales[[#This Row],[客戶ID]],tblCRM[客戶ID],0)),"")</f>
        <v/>
      </c>
      <c r="H273" t="str">
        <f>IFERROR(INDEX(tblProducts[正式名稱],MATCH(tblSales[[#This Row],[SKU]],tblProducts[SKU],0)),"")</f>
        <v/>
      </c>
      <c r="J273" s="6" t="str">
        <f>IFERROR(INDEX(tblProducts[建議售價],MATCH(tblSales[[#This Row],[SKU]],tblProducts[SKU],0)),"")</f>
        <v/>
      </c>
      <c r="M273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274" spans="4:13" ht="19.95" customHeight="1">
      <c r="D274" t="str">
        <f>IFERROR(INDEX(tblCRM[姓名／稱呼],MATCH(tblSales[[#This Row],[客戶ID]],tblCRM[客戶ID],0)),"")</f>
        <v/>
      </c>
      <c r="H274" t="str">
        <f>IFERROR(INDEX(tblProducts[正式名稱],MATCH(tblSales[[#This Row],[SKU]],tblProducts[SKU],0)),"")</f>
        <v/>
      </c>
      <c r="J274" s="6" t="str">
        <f>IFERROR(INDEX(tblProducts[建議售價],MATCH(tblSales[[#This Row],[SKU]],tblProducts[SKU],0)),"")</f>
        <v/>
      </c>
      <c r="M274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275" spans="4:13" ht="19.95" customHeight="1">
      <c r="D275" t="str">
        <f>IFERROR(INDEX(tblCRM[姓名／稱呼],MATCH(tblSales[[#This Row],[客戶ID]],tblCRM[客戶ID],0)),"")</f>
        <v/>
      </c>
      <c r="H275" t="str">
        <f>IFERROR(INDEX(tblProducts[正式名稱],MATCH(tblSales[[#This Row],[SKU]],tblProducts[SKU],0)),"")</f>
        <v/>
      </c>
      <c r="J275" s="6" t="str">
        <f>IFERROR(INDEX(tblProducts[建議售價],MATCH(tblSales[[#This Row],[SKU]],tblProducts[SKU],0)),"")</f>
        <v/>
      </c>
      <c r="M275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276" spans="4:13" ht="19.95" customHeight="1">
      <c r="D276" t="str">
        <f>IFERROR(INDEX(tblCRM[姓名／稱呼],MATCH(tblSales[[#This Row],[客戶ID]],tblCRM[客戶ID],0)),"")</f>
        <v/>
      </c>
      <c r="H276" t="str">
        <f>IFERROR(INDEX(tblProducts[正式名稱],MATCH(tblSales[[#This Row],[SKU]],tblProducts[SKU],0)),"")</f>
        <v/>
      </c>
      <c r="J276" s="6" t="str">
        <f>IFERROR(INDEX(tblProducts[建議售價],MATCH(tblSales[[#This Row],[SKU]],tblProducts[SKU],0)),"")</f>
        <v/>
      </c>
      <c r="M276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277" spans="4:13" ht="19.95" customHeight="1">
      <c r="D277" t="str">
        <f>IFERROR(INDEX(tblCRM[姓名／稱呼],MATCH(tblSales[[#This Row],[客戶ID]],tblCRM[客戶ID],0)),"")</f>
        <v/>
      </c>
      <c r="H277" t="str">
        <f>IFERROR(INDEX(tblProducts[正式名稱],MATCH(tblSales[[#This Row],[SKU]],tblProducts[SKU],0)),"")</f>
        <v/>
      </c>
      <c r="J277" s="6" t="str">
        <f>IFERROR(INDEX(tblProducts[建議售價],MATCH(tblSales[[#This Row],[SKU]],tblProducts[SKU],0)),"")</f>
        <v/>
      </c>
      <c r="M277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278" spans="4:13" ht="19.95" customHeight="1">
      <c r="D278" t="str">
        <f>IFERROR(INDEX(tblCRM[姓名／稱呼],MATCH(tblSales[[#This Row],[客戶ID]],tblCRM[客戶ID],0)),"")</f>
        <v/>
      </c>
      <c r="H278" t="str">
        <f>IFERROR(INDEX(tblProducts[正式名稱],MATCH(tblSales[[#This Row],[SKU]],tblProducts[SKU],0)),"")</f>
        <v/>
      </c>
      <c r="J278" s="6" t="str">
        <f>IFERROR(INDEX(tblProducts[建議售價],MATCH(tblSales[[#This Row],[SKU]],tblProducts[SKU],0)),"")</f>
        <v/>
      </c>
      <c r="M278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279" spans="4:13" ht="19.95" customHeight="1">
      <c r="D279" t="str">
        <f>IFERROR(INDEX(tblCRM[姓名／稱呼],MATCH(tblSales[[#This Row],[客戶ID]],tblCRM[客戶ID],0)),"")</f>
        <v/>
      </c>
      <c r="H279" t="str">
        <f>IFERROR(INDEX(tblProducts[正式名稱],MATCH(tblSales[[#This Row],[SKU]],tblProducts[SKU],0)),"")</f>
        <v/>
      </c>
      <c r="J279" s="6" t="str">
        <f>IFERROR(INDEX(tblProducts[建議售價],MATCH(tblSales[[#This Row],[SKU]],tblProducts[SKU],0)),"")</f>
        <v/>
      </c>
      <c r="M279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280" spans="4:13" ht="19.95" customHeight="1">
      <c r="D280" t="str">
        <f>IFERROR(INDEX(tblCRM[姓名／稱呼],MATCH(tblSales[[#This Row],[客戶ID]],tblCRM[客戶ID],0)),"")</f>
        <v/>
      </c>
      <c r="H280" t="str">
        <f>IFERROR(INDEX(tblProducts[正式名稱],MATCH(tblSales[[#This Row],[SKU]],tblProducts[SKU],0)),"")</f>
        <v/>
      </c>
      <c r="J280" s="6" t="str">
        <f>IFERROR(INDEX(tblProducts[建議售價],MATCH(tblSales[[#This Row],[SKU]],tblProducts[SKU],0)),"")</f>
        <v/>
      </c>
      <c r="M280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281" spans="4:13" ht="19.95" customHeight="1">
      <c r="D281" t="str">
        <f>IFERROR(INDEX(tblCRM[姓名／稱呼],MATCH(tblSales[[#This Row],[客戶ID]],tblCRM[客戶ID],0)),"")</f>
        <v/>
      </c>
      <c r="H281" t="str">
        <f>IFERROR(INDEX(tblProducts[正式名稱],MATCH(tblSales[[#This Row],[SKU]],tblProducts[SKU],0)),"")</f>
        <v/>
      </c>
      <c r="J281" s="6" t="str">
        <f>IFERROR(INDEX(tblProducts[建議售價],MATCH(tblSales[[#This Row],[SKU]],tblProducts[SKU],0)),"")</f>
        <v/>
      </c>
      <c r="M281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282" spans="4:13" ht="19.95" customHeight="1">
      <c r="D282" t="str">
        <f>IFERROR(INDEX(tblCRM[姓名／稱呼],MATCH(tblSales[[#This Row],[客戶ID]],tblCRM[客戶ID],0)),"")</f>
        <v/>
      </c>
      <c r="H282" t="str">
        <f>IFERROR(INDEX(tblProducts[正式名稱],MATCH(tblSales[[#This Row],[SKU]],tblProducts[SKU],0)),"")</f>
        <v/>
      </c>
      <c r="J282" s="6" t="str">
        <f>IFERROR(INDEX(tblProducts[建議售價],MATCH(tblSales[[#This Row],[SKU]],tblProducts[SKU],0)),"")</f>
        <v/>
      </c>
      <c r="M282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283" spans="4:13" ht="19.95" customHeight="1">
      <c r="D283" t="str">
        <f>IFERROR(INDEX(tblCRM[姓名／稱呼],MATCH(tblSales[[#This Row],[客戶ID]],tblCRM[客戶ID],0)),"")</f>
        <v/>
      </c>
      <c r="H283" t="str">
        <f>IFERROR(INDEX(tblProducts[正式名稱],MATCH(tblSales[[#This Row],[SKU]],tblProducts[SKU],0)),"")</f>
        <v/>
      </c>
      <c r="J283" s="6" t="str">
        <f>IFERROR(INDEX(tblProducts[建議售價],MATCH(tblSales[[#This Row],[SKU]],tblProducts[SKU],0)),"")</f>
        <v/>
      </c>
      <c r="M283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284" spans="4:13" ht="19.95" customHeight="1">
      <c r="D284" t="str">
        <f>IFERROR(INDEX(tblCRM[姓名／稱呼],MATCH(tblSales[[#This Row],[客戶ID]],tblCRM[客戶ID],0)),"")</f>
        <v/>
      </c>
      <c r="H284" t="str">
        <f>IFERROR(INDEX(tblProducts[正式名稱],MATCH(tblSales[[#This Row],[SKU]],tblProducts[SKU],0)),"")</f>
        <v/>
      </c>
      <c r="J284" s="6" t="str">
        <f>IFERROR(INDEX(tblProducts[建議售價],MATCH(tblSales[[#This Row],[SKU]],tblProducts[SKU],0)),"")</f>
        <v/>
      </c>
      <c r="M284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285" spans="4:13" ht="19.95" customHeight="1">
      <c r="D285" t="str">
        <f>IFERROR(INDEX(tblCRM[姓名／稱呼],MATCH(tblSales[[#This Row],[客戶ID]],tblCRM[客戶ID],0)),"")</f>
        <v/>
      </c>
      <c r="H285" t="str">
        <f>IFERROR(INDEX(tblProducts[正式名稱],MATCH(tblSales[[#This Row],[SKU]],tblProducts[SKU],0)),"")</f>
        <v/>
      </c>
      <c r="J285" s="6" t="str">
        <f>IFERROR(INDEX(tblProducts[建議售價],MATCH(tblSales[[#This Row],[SKU]],tblProducts[SKU],0)),"")</f>
        <v/>
      </c>
      <c r="M285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286" spans="4:13" ht="19.95" customHeight="1">
      <c r="D286" t="str">
        <f>IFERROR(INDEX(tblCRM[姓名／稱呼],MATCH(tblSales[[#This Row],[客戶ID]],tblCRM[客戶ID],0)),"")</f>
        <v/>
      </c>
      <c r="H286" t="str">
        <f>IFERROR(INDEX(tblProducts[正式名稱],MATCH(tblSales[[#This Row],[SKU]],tblProducts[SKU],0)),"")</f>
        <v/>
      </c>
      <c r="J286" s="6" t="str">
        <f>IFERROR(INDEX(tblProducts[建議售價],MATCH(tblSales[[#This Row],[SKU]],tblProducts[SKU],0)),"")</f>
        <v/>
      </c>
      <c r="M286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287" spans="4:13" ht="19.95" customHeight="1">
      <c r="D287" t="str">
        <f>IFERROR(INDEX(tblCRM[姓名／稱呼],MATCH(tblSales[[#This Row],[客戶ID]],tblCRM[客戶ID],0)),"")</f>
        <v/>
      </c>
      <c r="H287" t="str">
        <f>IFERROR(INDEX(tblProducts[正式名稱],MATCH(tblSales[[#This Row],[SKU]],tblProducts[SKU],0)),"")</f>
        <v/>
      </c>
      <c r="J287" s="6" t="str">
        <f>IFERROR(INDEX(tblProducts[建議售價],MATCH(tblSales[[#This Row],[SKU]],tblProducts[SKU],0)),"")</f>
        <v/>
      </c>
      <c r="M287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288" spans="4:13" ht="19.95" customHeight="1">
      <c r="D288" t="str">
        <f>IFERROR(INDEX(tblCRM[姓名／稱呼],MATCH(tblSales[[#This Row],[客戶ID]],tblCRM[客戶ID],0)),"")</f>
        <v/>
      </c>
      <c r="H288" t="str">
        <f>IFERROR(INDEX(tblProducts[正式名稱],MATCH(tblSales[[#This Row],[SKU]],tblProducts[SKU],0)),"")</f>
        <v/>
      </c>
      <c r="J288" s="6" t="str">
        <f>IFERROR(INDEX(tblProducts[建議售價],MATCH(tblSales[[#This Row],[SKU]],tblProducts[SKU],0)),"")</f>
        <v/>
      </c>
      <c r="M288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289" spans="4:13" ht="19.95" customHeight="1">
      <c r="D289" t="str">
        <f>IFERROR(INDEX(tblCRM[姓名／稱呼],MATCH(tblSales[[#This Row],[客戶ID]],tblCRM[客戶ID],0)),"")</f>
        <v/>
      </c>
      <c r="H289" t="str">
        <f>IFERROR(INDEX(tblProducts[正式名稱],MATCH(tblSales[[#This Row],[SKU]],tblProducts[SKU],0)),"")</f>
        <v/>
      </c>
      <c r="J289" s="6" t="str">
        <f>IFERROR(INDEX(tblProducts[建議售價],MATCH(tblSales[[#This Row],[SKU]],tblProducts[SKU],0)),"")</f>
        <v/>
      </c>
      <c r="M289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290" spans="4:13" ht="19.95" customHeight="1">
      <c r="D290" t="str">
        <f>IFERROR(INDEX(tblCRM[姓名／稱呼],MATCH(tblSales[[#This Row],[客戶ID]],tblCRM[客戶ID],0)),"")</f>
        <v/>
      </c>
      <c r="H290" t="str">
        <f>IFERROR(INDEX(tblProducts[正式名稱],MATCH(tblSales[[#This Row],[SKU]],tblProducts[SKU],0)),"")</f>
        <v/>
      </c>
      <c r="J290" s="6" t="str">
        <f>IFERROR(INDEX(tblProducts[建議售價],MATCH(tblSales[[#This Row],[SKU]],tblProducts[SKU],0)),"")</f>
        <v/>
      </c>
      <c r="M290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291" spans="4:13" ht="19.95" customHeight="1">
      <c r="D291" t="str">
        <f>IFERROR(INDEX(tblCRM[姓名／稱呼],MATCH(tblSales[[#This Row],[客戶ID]],tblCRM[客戶ID],0)),"")</f>
        <v/>
      </c>
      <c r="H291" t="str">
        <f>IFERROR(INDEX(tblProducts[正式名稱],MATCH(tblSales[[#This Row],[SKU]],tblProducts[SKU],0)),"")</f>
        <v/>
      </c>
      <c r="J291" s="6" t="str">
        <f>IFERROR(INDEX(tblProducts[建議售價],MATCH(tblSales[[#This Row],[SKU]],tblProducts[SKU],0)),"")</f>
        <v/>
      </c>
      <c r="M291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292" spans="4:13" ht="19.95" customHeight="1">
      <c r="D292" t="str">
        <f>IFERROR(INDEX(tblCRM[姓名／稱呼],MATCH(tblSales[[#This Row],[客戶ID]],tblCRM[客戶ID],0)),"")</f>
        <v/>
      </c>
      <c r="H292" t="str">
        <f>IFERROR(INDEX(tblProducts[正式名稱],MATCH(tblSales[[#This Row],[SKU]],tblProducts[SKU],0)),"")</f>
        <v/>
      </c>
      <c r="J292" s="6" t="str">
        <f>IFERROR(INDEX(tblProducts[建議售價],MATCH(tblSales[[#This Row],[SKU]],tblProducts[SKU],0)),"")</f>
        <v/>
      </c>
      <c r="M292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293" spans="4:13" ht="19.95" customHeight="1">
      <c r="D293" t="str">
        <f>IFERROR(INDEX(tblCRM[姓名／稱呼],MATCH(tblSales[[#This Row],[客戶ID]],tblCRM[客戶ID],0)),"")</f>
        <v/>
      </c>
      <c r="H293" t="str">
        <f>IFERROR(INDEX(tblProducts[正式名稱],MATCH(tblSales[[#This Row],[SKU]],tblProducts[SKU],0)),"")</f>
        <v/>
      </c>
      <c r="J293" s="6" t="str">
        <f>IFERROR(INDEX(tblProducts[建議售價],MATCH(tblSales[[#This Row],[SKU]],tblProducts[SKU],0)),"")</f>
        <v/>
      </c>
      <c r="M293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294" spans="4:13" ht="19.95" customHeight="1">
      <c r="D294" t="str">
        <f>IFERROR(INDEX(tblCRM[姓名／稱呼],MATCH(tblSales[[#This Row],[客戶ID]],tblCRM[客戶ID],0)),"")</f>
        <v/>
      </c>
      <c r="H294" t="str">
        <f>IFERROR(INDEX(tblProducts[正式名稱],MATCH(tblSales[[#This Row],[SKU]],tblProducts[SKU],0)),"")</f>
        <v/>
      </c>
      <c r="J294" s="6" t="str">
        <f>IFERROR(INDEX(tblProducts[建議售價],MATCH(tblSales[[#This Row],[SKU]],tblProducts[SKU],0)),"")</f>
        <v/>
      </c>
      <c r="M294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295" spans="4:13" ht="19.95" customHeight="1">
      <c r="D295" t="str">
        <f>IFERROR(INDEX(tblCRM[姓名／稱呼],MATCH(tblSales[[#This Row],[客戶ID]],tblCRM[客戶ID],0)),"")</f>
        <v/>
      </c>
      <c r="H295" t="str">
        <f>IFERROR(INDEX(tblProducts[正式名稱],MATCH(tblSales[[#This Row],[SKU]],tblProducts[SKU],0)),"")</f>
        <v/>
      </c>
      <c r="J295" s="6" t="str">
        <f>IFERROR(INDEX(tblProducts[建議售價],MATCH(tblSales[[#This Row],[SKU]],tblProducts[SKU],0)),"")</f>
        <v/>
      </c>
      <c r="M295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296" spans="4:13" ht="19.95" customHeight="1">
      <c r="D296" t="str">
        <f>IFERROR(INDEX(tblCRM[姓名／稱呼],MATCH(tblSales[[#This Row],[客戶ID]],tblCRM[客戶ID],0)),"")</f>
        <v/>
      </c>
      <c r="H296" t="str">
        <f>IFERROR(INDEX(tblProducts[正式名稱],MATCH(tblSales[[#This Row],[SKU]],tblProducts[SKU],0)),"")</f>
        <v/>
      </c>
      <c r="J296" s="6" t="str">
        <f>IFERROR(INDEX(tblProducts[建議售價],MATCH(tblSales[[#This Row],[SKU]],tblProducts[SKU],0)),"")</f>
        <v/>
      </c>
      <c r="M296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297" spans="4:13" ht="19.95" customHeight="1">
      <c r="D297" t="str">
        <f>IFERROR(INDEX(tblCRM[姓名／稱呼],MATCH(tblSales[[#This Row],[客戶ID]],tblCRM[客戶ID],0)),"")</f>
        <v/>
      </c>
      <c r="H297" t="str">
        <f>IFERROR(INDEX(tblProducts[正式名稱],MATCH(tblSales[[#This Row],[SKU]],tblProducts[SKU],0)),"")</f>
        <v/>
      </c>
      <c r="J297" s="6" t="str">
        <f>IFERROR(INDEX(tblProducts[建議售價],MATCH(tblSales[[#This Row],[SKU]],tblProducts[SKU],0)),"")</f>
        <v/>
      </c>
      <c r="M297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298" spans="4:13" ht="19.95" customHeight="1">
      <c r="D298" t="str">
        <f>IFERROR(INDEX(tblCRM[姓名／稱呼],MATCH(tblSales[[#This Row],[客戶ID]],tblCRM[客戶ID],0)),"")</f>
        <v/>
      </c>
      <c r="H298" t="str">
        <f>IFERROR(INDEX(tblProducts[正式名稱],MATCH(tblSales[[#This Row],[SKU]],tblProducts[SKU],0)),"")</f>
        <v/>
      </c>
      <c r="J298" s="6" t="str">
        <f>IFERROR(INDEX(tblProducts[建議售價],MATCH(tblSales[[#This Row],[SKU]],tblProducts[SKU],0)),"")</f>
        <v/>
      </c>
      <c r="M298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299" spans="4:13" ht="19.95" customHeight="1">
      <c r="D299" t="str">
        <f>IFERROR(INDEX(tblCRM[姓名／稱呼],MATCH(tblSales[[#This Row],[客戶ID]],tblCRM[客戶ID],0)),"")</f>
        <v/>
      </c>
      <c r="H299" t="str">
        <f>IFERROR(INDEX(tblProducts[正式名稱],MATCH(tblSales[[#This Row],[SKU]],tblProducts[SKU],0)),"")</f>
        <v/>
      </c>
      <c r="J299" s="6" t="str">
        <f>IFERROR(INDEX(tblProducts[建議售價],MATCH(tblSales[[#This Row],[SKU]],tblProducts[SKU],0)),"")</f>
        <v/>
      </c>
      <c r="M299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300" spans="4:13" ht="19.95" customHeight="1">
      <c r="D300" t="str">
        <f>IFERROR(INDEX(tblCRM[姓名／稱呼],MATCH(tblSales[[#This Row],[客戶ID]],tblCRM[客戶ID],0)),"")</f>
        <v/>
      </c>
      <c r="H300" t="str">
        <f>IFERROR(INDEX(tblProducts[正式名稱],MATCH(tblSales[[#This Row],[SKU]],tblProducts[SKU],0)),"")</f>
        <v/>
      </c>
      <c r="J300" s="6" t="str">
        <f>IFERROR(INDEX(tblProducts[建議售價],MATCH(tblSales[[#This Row],[SKU]],tblProducts[SKU],0)),"")</f>
        <v/>
      </c>
      <c r="M300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301" spans="4:13" ht="19.95" customHeight="1">
      <c r="D301" t="str">
        <f>IFERROR(INDEX(tblCRM[姓名／稱呼],MATCH(tblSales[[#This Row],[客戶ID]],tblCRM[客戶ID],0)),"")</f>
        <v/>
      </c>
      <c r="H301" t="str">
        <f>IFERROR(INDEX(tblProducts[正式名稱],MATCH(tblSales[[#This Row],[SKU]],tblProducts[SKU],0)),"")</f>
        <v/>
      </c>
      <c r="J301" s="6" t="str">
        <f>IFERROR(INDEX(tblProducts[建議售價],MATCH(tblSales[[#This Row],[SKU]],tblProducts[SKU],0)),"")</f>
        <v/>
      </c>
      <c r="M301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302" spans="4:13" ht="19.95" customHeight="1">
      <c r="D302" t="str">
        <f>IFERROR(INDEX(tblCRM[姓名／稱呼],MATCH(tblSales[[#This Row],[客戶ID]],tblCRM[客戶ID],0)),"")</f>
        <v/>
      </c>
      <c r="H302" t="str">
        <f>IFERROR(INDEX(tblProducts[正式名稱],MATCH(tblSales[[#This Row],[SKU]],tblProducts[SKU],0)),"")</f>
        <v/>
      </c>
      <c r="J302" s="6" t="str">
        <f>IFERROR(INDEX(tblProducts[建議售價],MATCH(tblSales[[#This Row],[SKU]],tblProducts[SKU],0)),"")</f>
        <v/>
      </c>
      <c r="M302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303" spans="4:13" ht="19.95" customHeight="1">
      <c r="D303" t="str">
        <f>IFERROR(INDEX(tblCRM[姓名／稱呼],MATCH(tblSales[[#This Row],[客戶ID]],tblCRM[客戶ID],0)),"")</f>
        <v/>
      </c>
      <c r="H303" t="str">
        <f>IFERROR(INDEX(tblProducts[正式名稱],MATCH(tblSales[[#This Row],[SKU]],tblProducts[SKU],0)),"")</f>
        <v/>
      </c>
      <c r="J303" s="6" t="str">
        <f>IFERROR(INDEX(tblProducts[建議售價],MATCH(tblSales[[#This Row],[SKU]],tblProducts[SKU],0)),"")</f>
        <v/>
      </c>
      <c r="M303" s="6" t="str">
        <f>IF(OR(tblSales[[#This Row],[數量]]="",tblSales[[#This Row],[單價]]=""),"",tblSales[[#This Row],[數量]]*tblSales[[#This Row],[單價]]-N(tblSales[[#This Row],[折扣]])+N(tblSales[[#This Row],[運費]]))</f>
        <v/>
      </c>
    </row>
    <row r="304" spans="4:13" ht="19.95" customHeight="1">
      <c r="D304" t="str">
        <f>IFERROR(INDEX(tblCRM[姓名／稱呼],MATCH(tblSales[[#This Row],[客戶ID]],tblCRM[客戶ID],0)),"")</f>
        <v/>
      </c>
      <c r="H304" t="str">
        <f>IFERROR(INDEX(tblProducts[正式名稱],MATCH(tblSales[[#This Row],[SKU]],tblProducts[SKU],0)),"")</f>
        <v/>
      </c>
      <c r="J304" s="6" t="str">
        <f>IFERROR(INDEX(tblProducts[建議售價],MATCH(tblSales[[#This Row],[SKU]],tblProducts[SKU],0)),"")</f>
        <v/>
      </c>
      <c r="M304" s="6" t="str">
        <f>IF(OR(tblSales[[#This Row],[數量]]="",tblSales[[#This Row],[單價]]=""),"",tblSales[[#This Row],[數量]]*tblSales[[#This Row],[單價]]-N(tblSales[[#This Row],[折扣]])+N(tblSales[[#This Row],[運費]]))</f>
        <v/>
      </c>
    </row>
  </sheetData>
  <mergeCells count="2">
    <mergeCell ref="A1:M1"/>
    <mergeCell ref="A2:M2"/>
  </mergeCells>
  <phoneticPr fontId="8" type="noConversion"/>
  <dataValidations count="5">
    <dataValidation type="list" allowBlank="1" showInputMessage="1" showErrorMessage="1" sqref="E5:E304" xr:uid="{00000000-0002-0000-0700-000000000000}">
      <formula1>CHANNEL_LIST</formula1>
    </dataValidation>
    <dataValidation type="list" allowBlank="1" showInputMessage="1" showErrorMessage="1" sqref="G5:G304" xr:uid="{00000000-0002-0000-0700-000001000000}">
      <formula1>SKU_LIST</formula1>
    </dataValidation>
    <dataValidation type="list" allowBlank="1" showInputMessage="1" showErrorMessage="1" sqref="O5:O304" xr:uid="{00000000-0002-0000-0700-000002000000}">
      <formula1>PAYMENT_STATUS</formula1>
    </dataValidation>
    <dataValidation type="list" allowBlank="1" showInputMessage="1" showErrorMessage="1" sqref="P5:P304" xr:uid="{00000000-0002-0000-0700-000003000000}">
      <formula1>FULFILL_STATUS</formula1>
    </dataValidation>
    <dataValidation type="list" allowBlank="1" showInputMessage="1" showErrorMessage="1" sqref="S5:S304" xr:uid="{00000000-0002-0000-0700-000004000000}">
      <formula1>OWNER_LIST</formula1>
    </dataValidation>
  </dataValidations>
  <pageMargins left="0.25" right="0.25" top="0.4" bottom="0.4" header="0.3" footer="0.3"/>
  <pageSetup fitToHeight="0" orientation="landscape"/>
  <headerFooter>
    <oddHeader>&amp;L希望之光 Hope Light&amp;C品牌營運管理系統&amp;R&amp;D</oddHeader>
    <oddFooter>&amp;L[Codex] 初版｜待確認資料不可直接對外&amp;R第 &amp;P / &amp;N 頁</oddFooter>
  </headerFooter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243B5A"/>
    <pageSetUpPr fitToPage="1"/>
  </sheetPr>
  <dimension ref="A1:AB304"/>
  <sheetViews>
    <sheetView showGridLines="0" workbookViewId="0">
      <pane ySplit="4" topLeftCell="A5" activePane="bottomLeft" state="frozen"/>
      <selection pane="bottomLeft"/>
    </sheetView>
  </sheetViews>
  <sheetFormatPr defaultRowHeight="19.95" customHeight="1"/>
  <cols>
    <col min="1" max="1" width="15.75" customWidth="1"/>
    <col min="2" max="3" width="18.75" customWidth="1"/>
    <col min="4" max="4" width="13.75" customWidth="1"/>
    <col min="5" max="5" width="15.75" customWidth="1"/>
    <col min="6" max="6" width="16.75" customWidth="1"/>
    <col min="7" max="7" width="25.75" customWidth="1"/>
    <col min="8" max="8" width="18.75" customWidth="1"/>
    <col min="9" max="9" width="16.75" customWidth="1"/>
    <col min="10" max="10" width="12.75" style="8" customWidth="1"/>
    <col min="11" max="11" width="9.75" customWidth="1"/>
    <col min="12" max="12" width="12.75" customWidth="1"/>
    <col min="13" max="14" width="18.75" customWidth="1"/>
    <col min="15" max="15" width="13.75" style="8" customWidth="1"/>
    <col min="16" max="16" width="30.75" customWidth="1"/>
    <col min="17" max="17" width="12.75" customWidth="1"/>
    <col min="18" max="18" width="34.75" customWidth="1"/>
    <col min="19" max="19" width="22.75" customWidth="1"/>
    <col min="20" max="20" width="30.75" customWidth="1"/>
    <col min="21" max="21" width="26.75" customWidth="1"/>
    <col min="22" max="23" width="13.75" style="8" customWidth="1"/>
    <col min="24" max="24" width="14.75" style="6" customWidth="1"/>
    <col min="25" max="25" width="12.75" customWidth="1"/>
    <col min="26" max="26" width="16.75" customWidth="1"/>
    <col min="27" max="27" width="12.75" customWidth="1"/>
    <col min="28" max="28" width="45.75" customWidth="1"/>
  </cols>
  <sheetData>
    <row r="1" spans="1:28" ht="34.049999999999997" customHeight="1">
      <c r="A1" s="9" t="s">
        <v>704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2" spans="1:28" ht="31.05" customHeight="1">
      <c r="A2" s="10" t="s">
        <v>705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4" spans="1:28" ht="19.95" customHeight="1">
      <c r="A4" t="s">
        <v>690</v>
      </c>
      <c r="B4" t="s">
        <v>706</v>
      </c>
      <c r="C4" t="s">
        <v>707</v>
      </c>
      <c r="D4" t="s">
        <v>79</v>
      </c>
      <c r="E4" t="s">
        <v>708</v>
      </c>
      <c r="F4" t="s">
        <v>709</v>
      </c>
      <c r="G4" t="s">
        <v>710</v>
      </c>
      <c r="H4" t="s">
        <v>711</v>
      </c>
      <c r="I4" t="s">
        <v>712</v>
      </c>
      <c r="J4" s="8" t="s">
        <v>713</v>
      </c>
      <c r="K4" t="s">
        <v>714</v>
      </c>
      <c r="L4" t="s">
        <v>715</v>
      </c>
      <c r="M4" t="s">
        <v>716</v>
      </c>
      <c r="N4" t="s">
        <v>717</v>
      </c>
      <c r="O4" s="8" t="s">
        <v>718</v>
      </c>
      <c r="P4" t="s">
        <v>719</v>
      </c>
      <c r="Q4" t="s">
        <v>720</v>
      </c>
      <c r="R4" t="s">
        <v>721</v>
      </c>
      <c r="S4" t="s">
        <v>722</v>
      </c>
      <c r="T4" t="s">
        <v>723</v>
      </c>
      <c r="U4" t="s">
        <v>724</v>
      </c>
      <c r="V4" s="8" t="s">
        <v>725</v>
      </c>
      <c r="W4" s="8" t="s">
        <v>702</v>
      </c>
      <c r="X4" s="6" t="s">
        <v>42</v>
      </c>
      <c r="Y4" t="s">
        <v>726</v>
      </c>
      <c r="Z4" t="s">
        <v>727</v>
      </c>
      <c r="AA4" t="s">
        <v>703</v>
      </c>
      <c r="AB4" t="s">
        <v>415</v>
      </c>
    </row>
    <row r="5" spans="1:28" ht="19.95" customHeight="1">
      <c r="A5" t="s">
        <v>728</v>
      </c>
      <c r="B5" t="s">
        <v>729</v>
      </c>
      <c r="C5" t="s">
        <v>730</v>
      </c>
      <c r="D5" t="s">
        <v>558</v>
      </c>
      <c r="H5" t="s">
        <v>731</v>
      </c>
      <c r="N5" t="s">
        <v>732</v>
      </c>
      <c r="S5" t="s">
        <v>733</v>
      </c>
      <c r="X5" s="6">
        <f>IF(tblCRM[[#This Row],[客戶ID]]="","",SUMIFS(tblSales[實收金額],tblSales[客戶ID],tblCRM[[#This Row],[客戶ID]]))</f>
        <v>0</v>
      </c>
      <c r="Y5" t="s">
        <v>734</v>
      </c>
      <c r="Z5" t="s">
        <v>734</v>
      </c>
      <c r="AA5" t="s">
        <v>735</v>
      </c>
      <c r="AB5" t="s">
        <v>736</v>
      </c>
    </row>
    <row r="6" spans="1:28" ht="19.95" customHeight="1">
      <c r="A6" t="s">
        <v>737</v>
      </c>
      <c r="B6" t="s">
        <v>738</v>
      </c>
      <c r="C6" t="s">
        <v>730</v>
      </c>
      <c r="D6" t="s">
        <v>558</v>
      </c>
      <c r="N6" t="s">
        <v>732</v>
      </c>
      <c r="S6" t="s">
        <v>739</v>
      </c>
      <c r="X6" s="6">
        <f>IF(tblCRM[[#This Row],[客戶ID]]="","",SUMIFS(tblSales[實收金額],tblSales[客戶ID],tblCRM[[#This Row],[客戶ID]]))</f>
        <v>0</v>
      </c>
      <c r="Y6" t="s">
        <v>734</v>
      </c>
      <c r="Z6" t="s">
        <v>734</v>
      </c>
      <c r="AA6" t="s">
        <v>735</v>
      </c>
      <c r="AB6" t="s">
        <v>736</v>
      </c>
    </row>
    <row r="7" spans="1:28" ht="19.95" customHeight="1">
      <c r="A7" t="s">
        <v>740</v>
      </c>
      <c r="B7" t="s">
        <v>741</v>
      </c>
      <c r="C7" t="s">
        <v>730</v>
      </c>
      <c r="D7" t="s">
        <v>558</v>
      </c>
      <c r="N7" t="s">
        <v>732</v>
      </c>
      <c r="S7" t="s">
        <v>742</v>
      </c>
      <c r="X7" s="6">
        <f>IF(tblCRM[[#This Row],[客戶ID]]="","",SUMIFS(tblSales[實收金額],tblSales[客戶ID],tblCRM[[#This Row],[客戶ID]]))</f>
        <v>0</v>
      </c>
      <c r="Y7" t="s">
        <v>734</v>
      </c>
      <c r="Z7" t="s">
        <v>734</v>
      </c>
      <c r="AA7" t="s">
        <v>735</v>
      </c>
      <c r="AB7" t="s">
        <v>736</v>
      </c>
    </row>
    <row r="8" spans="1:28" ht="19.95" customHeight="1">
      <c r="A8" t="s">
        <v>743</v>
      </c>
      <c r="B8" t="s">
        <v>744</v>
      </c>
      <c r="C8" t="s">
        <v>730</v>
      </c>
      <c r="D8" t="s">
        <v>558</v>
      </c>
      <c r="N8" t="s">
        <v>732</v>
      </c>
      <c r="S8" t="s">
        <v>745</v>
      </c>
      <c r="X8" s="6">
        <f>IF(tblCRM[[#This Row],[客戶ID]]="","",SUMIFS(tblSales[實收金額],tblSales[客戶ID],tblCRM[[#This Row],[客戶ID]]))</f>
        <v>0</v>
      </c>
      <c r="Y8" t="s">
        <v>734</v>
      </c>
      <c r="Z8" t="s">
        <v>734</v>
      </c>
      <c r="AA8" t="s">
        <v>735</v>
      </c>
      <c r="AB8" t="s">
        <v>736</v>
      </c>
    </row>
    <row r="9" spans="1:28" ht="19.95" customHeight="1">
      <c r="X9" s="6" t="str">
        <f>IF(tblCRM[[#This Row],[客戶ID]]="","",SUMIFS(tblSales[實收金額],tblSales[客戶ID],tblCRM[[#This Row],[客戶ID]]))</f>
        <v/>
      </c>
    </row>
    <row r="10" spans="1:28" ht="19.95" customHeight="1">
      <c r="X10" s="6" t="str">
        <f>IF(tblCRM[[#This Row],[客戶ID]]="","",SUMIFS(tblSales[實收金額],tblSales[客戶ID],tblCRM[[#This Row],[客戶ID]]))</f>
        <v/>
      </c>
    </row>
    <row r="11" spans="1:28" ht="19.95" customHeight="1">
      <c r="X11" s="6" t="str">
        <f>IF(tblCRM[[#This Row],[客戶ID]]="","",SUMIFS(tblSales[實收金額],tblSales[客戶ID],tblCRM[[#This Row],[客戶ID]]))</f>
        <v/>
      </c>
    </row>
    <row r="12" spans="1:28" ht="19.95" customHeight="1">
      <c r="X12" s="6" t="str">
        <f>IF(tblCRM[[#This Row],[客戶ID]]="","",SUMIFS(tblSales[實收金額],tblSales[客戶ID],tblCRM[[#This Row],[客戶ID]]))</f>
        <v/>
      </c>
    </row>
    <row r="13" spans="1:28" ht="19.95" customHeight="1">
      <c r="X13" s="6" t="str">
        <f>IF(tblCRM[[#This Row],[客戶ID]]="","",SUMIFS(tblSales[實收金額],tblSales[客戶ID],tblCRM[[#This Row],[客戶ID]]))</f>
        <v/>
      </c>
    </row>
    <row r="14" spans="1:28" ht="19.95" customHeight="1">
      <c r="X14" s="6" t="str">
        <f>IF(tblCRM[[#This Row],[客戶ID]]="","",SUMIFS(tblSales[實收金額],tblSales[客戶ID],tblCRM[[#This Row],[客戶ID]]))</f>
        <v/>
      </c>
    </row>
    <row r="15" spans="1:28" ht="19.95" customHeight="1">
      <c r="X15" s="6" t="str">
        <f>IF(tblCRM[[#This Row],[客戶ID]]="","",SUMIFS(tblSales[實收金額],tblSales[客戶ID],tblCRM[[#This Row],[客戶ID]]))</f>
        <v/>
      </c>
    </row>
    <row r="16" spans="1:28" ht="19.95" customHeight="1">
      <c r="X16" s="6" t="str">
        <f>IF(tblCRM[[#This Row],[客戶ID]]="","",SUMIFS(tblSales[實收金額],tblSales[客戶ID],tblCRM[[#This Row],[客戶ID]]))</f>
        <v/>
      </c>
    </row>
    <row r="17" spans="24:24" ht="19.95" customHeight="1">
      <c r="X17" s="6" t="str">
        <f>IF(tblCRM[[#This Row],[客戶ID]]="","",SUMIFS(tblSales[實收金額],tblSales[客戶ID],tblCRM[[#This Row],[客戶ID]]))</f>
        <v/>
      </c>
    </row>
    <row r="18" spans="24:24" ht="19.95" customHeight="1">
      <c r="X18" s="6" t="str">
        <f>IF(tblCRM[[#This Row],[客戶ID]]="","",SUMIFS(tblSales[實收金額],tblSales[客戶ID],tblCRM[[#This Row],[客戶ID]]))</f>
        <v/>
      </c>
    </row>
    <row r="19" spans="24:24" ht="19.95" customHeight="1">
      <c r="X19" s="6" t="str">
        <f>IF(tblCRM[[#This Row],[客戶ID]]="","",SUMIFS(tblSales[實收金額],tblSales[客戶ID],tblCRM[[#This Row],[客戶ID]]))</f>
        <v/>
      </c>
    </row>
    <row r="20" spans="24:24" ht="19.95" customHeight="1">
      <c r="X20" s="6" t="str">
        <f>IF(tblCRM[[#This Row],[客戶ID]]="","",SUMIFS(tblSales[實收金額],tblSales[客戶ID],tblCRM[[#This Row],[客戶ID]]))</f>
        <v/>
      </c>
    </row>
    <row r="21" spans="24:24" ht="19.95" customHeight="1">
      <c r="X21" s="6" t="str">
        <f>IF(tblCRM[[#This Row],[客戶ID]]="","",SUMIFS(tblSales[實收金額],tblSales[客戶ID],tblCRM[[#This Row],[客戶ID]]))</f>
        <v/>
      </c>
    </row>
    <row r="22" spans="24:24" ht="19.95" customHeight="1">
      <c r="X22" s="6" t="str">
        <f>IF(tblCRM[[#This Row],[客戶ID]]="","",SUMIFS(tblSales[實收金額],tblSales[客戶ID],tblCRM[[#This Row],[客戶ID]]))</f>
        <v/>
      </c>
    </row>
    <row r="23" spans="24:24" ht="19.95" customHeight="1">
      <c r="X23" s="6" t="str">
        <f>IF(tblCRM[[#This Row],[客戶ID]]="","",SUMIFS(tblSales[實收金額],tblSales[客戶ID],tblCRM[[#This Row],[客戶ID]]))</f>
        <v/>
      </c>
    </row>
    <row r="24" spans="24:24" ht="19.95" customHeight="1">
      <c r="X24" s="6" t="str">
        <f>IF(tblCRM[[#This Row],[客戶ID]]="","",SUMIFS(tblSales[實收金額],tblSales[客戶ID],tblCRM[[#This Row],[客戶ID]]))</f>
        <v/>
      </c>
    </row>
    <row r="25" spans="24:24" ht="19.95" customHeight="1">
      <c r="X25" s="6" t="str">
        <f>IF(tblCRM[[#This Row],[客戶ID]]="","",SUMIFS(tblSales[實收金額],tblSales[客戶ID],tblCRM[[#This Row],[客戶ID]]))</f>
        <v/>
      </c>
    </row>
    <row r="26" spans="24:24" ht="19.95" customHeight="1">
      <c r="X26" s="6" t="str">
        <f>IF(tblCRM[[#This Row],[客戶ID]]="","",SUMIFS(tblSales[實收金額],tblSales[客戶ID],tblCRM[[#This Row],[客戶ID]]))</f>
        <v/>
      </c>
    </row>
    <row r="27" spans="24:24" ht="19.95" customHeight="1">
      <c r="X27" s="6" t="str">
        <f>IF(tblCRM[[#This Row],[客戶ID]]="","",SUMIFS(tblSales[實收金額],tblSales[客戶ID],tblCRM[[#This Row],[客戶ID]]))</f>
        <v/>
      </c>
    </row>
    <row r="28" spans="24:24" ht="19.95" customHeight="1">
      <c r="X28" s="6" t="str">
        <f>IF(tblCRM[[#This Row],[客戶ID]]="","",SUMIFS(tblSales[實收金額],tblSales[客戶ID],tblCRM[[#This Row],[客戶ID]]))</f>
        <v/>
      </c>
    </row>
    <row r="29" spans="24:24" ht="19.95" customHeight="1">
      <c r="X29" s="6" t="str">
        <f>IF(tblCRM[[#This Row],[客戶ID]]="","",SUMIFS(tblSales[實收金額],tblSales[客戶ID],tblCRM[[#This Row],[客戶ID]]))</f>
        <v/>
      </c>
    </row>
    <row r="30" spans="24:24" ht="19.95" customHeight="1">
      <c r="X30" s="6" t="str">
        <f>IF(tblCRM[[#This Row],[客戶ID]]="","",SUMIFS(tblSales[實收金額],tblSales[客戶ID],tblCRM[[#This Row],[客戶ID]]))</f>
        <v/>
      </c>
    </row>
    <row r="31" spans="24:24" ht="19.95" customHeight="1">
      <c r="X31" s="6" t="str">
        <f>IF(tblCRM[[#This Row],[客戶ID]]="","",SUMIFS(tblSales[實收金額],tblSales[客戶ID],tblCRM[[#This Row],[客戶ID]]))</f>
        <v/>
      </c>
    </row>
    <row r="32" spans="24:24" ht="19.95" customHeight="1">
      <c r="X32" s="6" t="str">
        <f>IF(tblCRM[[#This Row],[客戶ID]]="","",SUMIFS(tblSales[實收金額],tblSales[客戶ID],tblCRM[[#This Row],[客戶ID]]))</f>
        <v/>
      </c>
    </row>
    <row r="33" spans="24:24" ht="19.95" customHeight="1">
      <c r="X33" s="6" t="str">
        <f>IF(tblCRM[[#This Row],[客戶ID]]="","",SUMIFS(tblSales[實收金額],tblSales[客戶ID],tblCRM[[#This Row],[客戶ID]]))</f>
        <v/>
      </c>
    </row>
    <row r="34" spans="24:24" ht="19.95" customHeight="1">
      <c r="X34" s="6" t="str">
        <f>IF(tblCRM[[#This Row],[客戶ID]]="","",SUMIFS(tblSales[實收金額],tblSales[客戶ID],tblCRM[[#This Row],[客戶ID]]))</f>
        <v/>
      </c>
    </row>
    <row r="35" spans="24:24" ht="19.95" customHeight="1">
      <c r="X35" s="6" t="str">
        <f>IF(tblCRM[[#This Row],[客戶ID]]="","",SUMIFS(tblSales[實收金額],tblSales[客戶ID],tblCRM[[#This Row],[客戶ID]]))</f>
        <v/>
      </c>
    </row>
    <row r="36" spans="24:24" ht="19.95" customHeight="1">
      <c r="X36" s="6" t="str">
        <f>IF(tblCRM[[#This Row],[客戶ID]]="","",SUMIFS(tblSales[實收金額],tblSales[客戶ID],tblCRM[[#This Row],[客戶ID]]))</f>
        <v/>
      </c>
    </row>
    <row r="37" spans="24:24" ht="19.95" customHeight="1">
      <c r="X37" s="6" t="str">
        <f>IF(tblCRM[[#This Row],[客戶ID]]="","",SUMIFS(tblSales[實收金額],tblSales[客戶ID],tblCRM[[#This Row],[客戶ID]]))</f>
        <v/>
      </c>
    </row>
    <row r="38" spans="24:24" ht="19.95" customHeight="1">
      <c r="X38" s="6" t="str">
        <f>IF(tblCRM[[#This Row],[客戶ID]]="","",SUMIFS(tblSales[實收金額],tblSales[客戶ID],tblCRM[[#This Row],[客戶ID]]))</f>
        <v/>
      </c>
    </row>
    <row r="39" spans="24:24" ht="19.95" customHeight="1">
      <c r="X39" s="6" t="str">
        <f>IF(tblCRM[[#This Row],[客戶ID]]="","",SUMIFS(tblSales[實收金額],tblSales[客戶ID],tblCRM[[#This Row],[客戶ID]]))</f>
        <v/>
      </c>
    </row>
    <row r="40" spans="24:24" ht="19.95" customHeight="1">
      <c r="X40" s="6" t="str">
        <f>IF(tblCRM[[#This Row],[客戶ID]]="","",SUMIFS(tblSales[實收金額],tblSales[客戶ID],tblCRM[[#This Row],[客戶ID]]))</f>
        <v/>
      </c>
    </row>
    <row r="41" spans="24:24" ht="19.95" customHeight="1">
      <c r="X41" s="6" t="str">
        <f>IF(tblCRM[[#This Row],[客戶ID]]="","",SUMIFS(tblSales[實收金額],tblSales[客戶ID],tblCRM[[#This Row],[客戶ID]]))</f>
        <v/>
      </c>
    </row>
    <row r="42" spans="24:24" ht="19.95" customHeight="1">
      <c r="X42" s="6" t="str">
        <f>IF(tblCRM[[#This Row],[客戶ID]]="","",SUMIFS(tblSales[實收金額],tblSales[客戶ID],tblCRM[[#This Row],[客戶ID]]))</f>
        <v/>
      </c>
    </row>
    <row r="43" spans="24:24" ht="19.95" customHeight="1">
      <c r="X43" s="6" t="str">
        <f>IF(tblCRM[[#This Row],[客戶ID]]="","",SUMIFS(tblSales[實收金額],tblSales[客戶ID],tblCRM[[#This Row],[客戶ID]]))</f>
        <v/>
      </c>
    </row>
    <row r="44" spans="24:24" ht="19.95" customHeight="1">
      <c r="X44" s="6" t="str">
        <f>IF(tblCRM[[#This Row],[客戶ID]]="","",SUMIFS(tblSales[實收金額],tblSales[客戶ID],tblCRM[[#This Row],[客戶ID]]))</f>
        <v/>
      </c>
    </row>
    <row r="45" spans="24:24" ht="19.95" customHeight="1">
      <c r="X45" s="6" t="str">
        <f>IF(tblCRM[[#This Row],[客戶ID]]="","",SUMIFS(tblSales[實收金額],tblSales[客戶ID],tblCRM[[#This Row],[客戶ID]]))</f>
        <v/>
      </c>
    </row>
    <row r="46" spans="24:24" ht="19.95" customHeight="1">
      <c r="X46" s="6" t="str">
        <f>IF(tblCRM[[#This Row],[客戶ID]]="","",SUMIFS(tblSales[實收金額],tblSales[客戶ID],tblCRM[[#This Row],[客戶ID]]))</f>
        <v/>
      </c>
    </row>
    <row r="47" spans="24:24" ht="19.95" customHeight="1">
      <c r="X47" s="6" t="str">
        <f>IF(tblCRM[[#This Row],[客戶ID]]="","",SUMIFS(tblSales[實收金額],tblSales[客戶ID],tblCRM[[#This Row],[客戶ID]]))</f>
        <v/>
      </c>
    </row>
    <row r="48" spans="24:24" ht="19.95" customHeight="1">
      <c r="X48" s="6" t="str">
        <f>IF(tblCRM[[#This Row],[客戶ID]]="","",SUMIFS(tblSales[實收金額],tblSales[客戶ID],tblCRM[[#This Row],[客戶ID]]))</f>
        <v/>
      </c>
    </row>
    <row r="49" spans="24:24" ht="19.95" customHeight="1">
      <c r="X49" s="6" t="str">
        <f>IF(tblCRM[[#This Row],[客戶ID]]="","",SUMIFS(tblSales[實收金額],tblSales[客戶ID],tblCRM[[#This Row],[客戶ID]]))</f>
        <v/>
      </c>
    </row>
    <row r="50" spans="24:24" ht="19.95" customHeight="1">
      <c r="X50" s="6" t="str">
        <f>IF(tblCRM[[#This Row],[客戶ID]]="","",SUMIFS(tblSales[實收金額],tblSales[客戶ID],tblCRM[[#This Row],[客戶ID]]))</f>
        <v/>
      </c>
    </row>
    <row r="51" spans="24:24" ht="19.95" customHeight="1">
      <c r="X51" s="6" t="str">
        <f>IF(tblCRM[[#This Row],[客戶ID]]="","",SUMIFS(tblSales[實收金額],tblSales[客戶ID],tblCRM[[#This Row],[客戶ID]]))</f>
        <v/>
      </c>
    </row>
    <row r="52" spans="24:24" ht="19.95" customHeight="1">
      <c r="X52" s="6" t="str">
        <f>IF(tblCRM[[#This Row],[客戶ID]]="","",SUMIFS(tblSales[實收金額],tblSales[客戶ID],tblCRM[[#This Row],[客戶ID]]))</f>
        <v/>
      </c>
    </row>
    <row r="53" spans="24:24" ht="19.95" customHeight="1">
      <c r="X53" s="6" t="str">
        <f>IF(tblCRM[[#This Row],[客戶ID]]="","",SUMIFS(tblSales[實收金額],tblSales[客戶ID],tblCRM[[#This Row],[客戶ID]]))</f>
        <v/>
      </c>
    </row>
    <row r="54" spans="24:24" ht="19.95" customHeight="1">
      <c r="X54" s="6" t="str">
        <f>IF(tblCRM[[#This Row],[客戶ID]]="","",SUMIFS(tblSales[實收金額],tblSales[客戶ID],tblCRM[[#This Row],[客戶ID]]))</f>
        <v/>
      </c>
    </row>
    <row r="55" spans="24:24" ht="19.95" customHeight="1">
      <c r="X55" s="6" t="str">
        <f>IF(tblCRM[[#This Row],[客戶ID]]="","",SUMIFS(tblSales[實收金額],tblSales[客戶ID],tblCRM[[#This Row],[客戶ID]]))</f>
        <v/>
      </c>
    </row>
    <row r="56" spans="24:24" ht="19.95" customHeight="1">
      <c r="X56" s="6" t="str">
        <f>IF(tblCRM[[#This Row],[客戶ID]]="","",SUMIFS(tblSales[實收金額],tblSales[客戶ID],tblCRM[[#This Row],[客戶ID]]))</f>
        <v/>
      </c>
    </row>
    <row r="57" spans="24:24" ht="19.95" customHeight="1">
      <c r="X57" s="6" t="str">
        <f>IF(tblCRM[[#This Row],[客戶ID]]="","",SUMIFS(tblSales[實收金額],tblSales[客戶ID],tblCRM[[#This Row],[客戶ID]]))</f>
        <v/>
      </c>
    </row>
    <row r="58" spans="24:24" ht="19.95" customHeight="1">
      <c r="X58" s="6" t="str">
        <f>IF(tblCRM[[#This Row],[客戶ID]]="","",SUMIFS(tblSales[實收金額],tblSales[客戶ID],tblCRM[[#This Row],[客戶ID]]))</f>
        <v/>
      </c>
    </row>
    <row r="59" spans="24:24" ht="19.95" customHeight="1">
      <c r="X59" s="6" t="str">
        <f>IF(tblCRM[[#This Row],[客戶ID]]="","",SUMIFS(tblSales[實收金額],tblSales[客戶ID],tblCRM[[#This Row],[客戶ID]]))</f>
        <v/>
      </c>
    </row>
    <row r="60" spans="24:24" ht="19.95" customHeight="1">
      <c r="X60" s="6" t="str">
        <f>IF(tblCRM[[#This Row],[客戶ID]]="","",SUMIFS(tblSales[實收金額],tblSales[客戶ID],tblCRM[[#This Row],[客戶ID]]))</f>
        <v/>
      </c>
    </row>
    <row r="61" spans="24:24" ht="19.95" customHeight="1">
      <c r="X61" s="6" t="str">
        <f>IF(tblCRM[[#This Row],[客戶ID]]="","",SUMIFS(tblSales[實收金額],tblSales[客戶ID],tblCRM[[#This Row],[客戶ID]]))</f>
        <v/>
      </c>
    </row>
    <row r="62" spans="24:24" ht="19.95" customHeight="1">
      <c r="X62" s="6" t="str">
        <f>IF(tblCRM[[#This Row],[客戶ID]]="","",SUMIFS(tblSales[實收金額],tblSales[客戶ID],tblCRM[[#This Row],[客戶ID]]))</f>
        <v/>
      </c>
    </row>
    <row r="63" spans="24:24" ht="19.95" customHeight="1">
      <c r="X63" s="6" t="str">
        <f>IF(tblCRM[[#This Row],[客戶ID]]="","",SUMIFS(tblSales[實收金額],tblSales[客戶ID],tblCRM[[#This Row],[客戶ID]]))</f>
        <v/>
      </c>
    </row>
    <row r="64" spans="24:24" ht="19.95" customHeight="1">
      <c r="X64" s="6" t="str">
        <f>IF(tblCRM[[#This Row],[客戶ID]]="","",SUMIFS(tblSales[實收金額],tblSales[客戶ID],tblCRM[[#This Row],[客戶ID]]))</f>
        <v/>
      </c>
    </row>
    <row r="65" spans="24:24" ht="19.95" customHeight="1">
      <c r="X65" s="6" t="str">
        <f>IF(tblCRM[[#This Row],[客戶ID]]="","",SUMIFS(tblSales[實收金額],tblSales[客戶ID],tblCRM[[#This Row],[客戶ID]]))</f>
        <v/>
      </c>
    </row>
    <row r="66" spans="24:24" ht="19.95" customHeight="1">
      <c r="X66" s="6" t="str">
        <f>IF(tblCRM[[#This Row],[客戶ID]]="","",SUMIFS(tblSales[實收金額],tblSales[客戶ID],tblCRM[[#This Row],[客戶ID]]))</f>
        <v/>
      </c>
    </row>
    <row r="67" spans="24:24" ht="19.95" customHeight="1">
      <c r="X67" s="6" t="str">
        <f>IF(tblCRM[[#This Row],[客戶ID]]="","",SUMIFS(tblSales[實收金額],tblSales[客戶ID],tblCRM[[#This Row],[客戶ID]]))</f>
        <v/>
      </c>
    </row>
    <row r="68" spans="24:24" ht="19.95" customHeight="1">
      <c r="X68" s="6" t="str">
        <f>IF(tblCRM[[#This Row],[客戶ID]]="","",SUMIFS(tblSales[實收金額],tblSales[客戶ID],tblCRM[[#This Row],[客戶ID]]))</f>
        <v/>
      </c>
    </row>
    <row r="69" spans="24:24" ht="19.95" customHeight="1">
      <c r="X69" s="6" t="str">
        <f>IF(tblCRM[[#This Row],[客戶ID]]="","",SUMIFS(tblSales[實收金額],tblSales[客戶ID],tblCRM[[#This Row],[客戶ID]]))</f>
        <v/>
      </c>
    </row>
    <row r="70" spans="24:24" ht="19.95" customHeight="1">
      <c r="X70" s="6" t="str">
        <f>IF(tblCRM[[#This Row],[客戶ID]]="","",SUMIFS(tblSales[實收金額],tblSales[客戶ID],tblCRM[[#This Row],[客戶ID]]))</f>
        <v/>
      </c>
    </row>
    <row r="71" spans="24:24" ht="19.95" customHeight="1">
      <c r="X71" s="6" t="str">
        <f>IF(tblCRM[[#This Row],[客戶ID]]="","",SUMIFS(tblSales[實收金額],tblSales[客戶ID],tblCRM[[#This Row],[客戶ID]]))</f>
        <v/>
      </c>
    </row>
    <row r="72" spans="24:24" ht="19.95" customHeight="1">
      <c r="X72" s="6" t="str">
        <f>IF(tblCRM[[#This Row],[客戶ID]]="","",SUMIFS(tblSales[實收金額],tblSales[客戶ID],tblCRM[[#This Row],[客戶ID]]))</f>
        <v/>
      </c>
    </row>
    <row r="73" spans="24:24" ht="19.95" customHeight="1">
      <c r="X73" s="6" t="str">
        <f>IF(tblCRM[[#This Row],[客戶ID]]="","",SUMIFS(tblSales[實收金額],tblSales[客戶ID],tblCRM[[#This Row],[客戶ID]]))</f>
        <v/>
      </c>
    </row>
    <row r="74" spans="24:24" ht="19.95" customHeight="1">
      <c r="X74" s="6" t="str">
        <f>IF(tblCRM[[#This Row],[客戶ID]]="","",SUMIFS(tblSales[實收金額],tblSales[客戶ID],tblCRM[[#This Row],[客戶ID]]))</f>
        <v/>
      </c>
    </row>
    <row r="75" spans="24:24" ht="19.95" customHeight="1">
      <c r="X75" s="6" t="str">
        <f>IF(tblCRM[[#This Row],[客戶ID]]="","",SUMIFS(tblSales[實收金額],tblSales[客戶ID],tblCRM[[#This Row],[客戶ID]]))</f>
        <v/>
      </c>
    </row>
    <row r="76" spans="24:24" ht="19.95" customHeight="1">
      <c r="X76" s="6" t="str">
        <f>IF(tblCRM[[#This Row],[客戶ID]]="","",SUMIFS(tblSales[實收金額],tblSales[客戶ID],tblCRM[[#This Row],[客戶ID]]))</f>
        <v/>
      </c>
    </row>
    <row r="77" spans="24:24" ht="19.95" customHeight="1">
      <c r="X77" s="6" t="str">
        <f>IF(tblCRM[[#This Row],[客戶ID]]="","",SUMIFS(tblSales[實收金額],tblSales[客戶ID],tblCRM[[#This Row],[客戶ID]]))</f>
        <v/>
      </c>
    </row>
    <row r="78" spans="24:24" ht="19.95" customHeight="1">
      <c r="X78" s="6" t="str">
        <f>IF(tblCRM[[#This Row],[客戶ID]]="","",SUMIFS(tblSales[實收金額],tblSales[客戶ID],tblCRM[[#This Row],[客戶ID]]))</f>
        <v/>
      </c>
    </row>
    <row r="79" spans="24:24" ht="19.95" customHeight="1">
      <c r="X79" s="6" t="str">
        <f>IF(tblCRM[[#This Row],[客戶ID]]="","",SUMIFS(tblSales[實收金額],tblSales[客戶ID],tblCRM[[#This Row],[客戶ID]]))</f>
        <v/>
      </c>
    </row>
    <row r="80" spans="24:24" ht="19.95" customHeight="1">
      <c r="X80" s="6" t="str">
        <f>IF(tblCRM[[#This Row],[客戶ID]]="","",SUMIFS(tblSales[實收金額],tblSales[客戶ID],tblCRM[[#This Row],[客戶ID]]))</f>
        <v/>
      </c>
    </row>
    <row r="81" spans="24:24" ht="19.95" customHeight="1">
      <c r="X81" s="6" t="str">
        <f>IF(tblCRM[[#This Row],[客戶ID]]="","",SUMIFS(tblSales[實收金額],tblSales[客戶ID],tblCRM[[#This Row],[客戶ID]]))</f>
        <v/>
      </c>
    </row>
    <row r="82" spans="24:24" ht="19.95" customHeight="1">
      <c r="X82" s="6" t="str">
        <f>IF(tblCRM[[#This Row],[客戶ID]]="","",SUMIFS(tblSales[實收金額],tblSales[客戶ID],tblCRM[[#This Row],[客戶ID]]))</f>
        <v/>
      </c>
    </row>
    <row r="83" spans="24:24" ht="19.95" customHeight="1">
      <c r="X83" s="6" t="str">
        <f>IF(tblCRM[[#This Row],[客戶ID]]="","",SUMIFS(tblSales[實收金額],tblSales[客戶ID],tblCRM[[#This Row],[客戶ID]]))</f>
        <v/>
      </c>
    </row>
    <row r="84" spans="24:24" ht="19.95" customHeight="1">
      <c r="X84" s="6" t="str">
        <f>IF(tblCRM[[#This Row],[客戶ID]]="","",SUMIFS(tblSales[實收金額],tblSales[客戶ID],tblCRM[[#This Row],[客戶ID]]))</f>
        <v/>
      </c>
    </row>
    <row r="85" spans="24:24" ht="19.95" customHeight="1">
      <c r="X85" s="6" t="str">
        <f>IF(tblCRM[[#This Row],[客戶ID]]="","",SUMIFS(tblSales[實收金額],tblSales[客戶ID],tblCRM[[#This Row],[客戶ID]]))</f>
        <v/>
      </c>
    </row>
    <row r="86" spans="24:24" ht="19.95" customHeight="1">
      <c r="X86" s="6" t="str">
        <f>IF(tblCRM[[#This Row],[客戶ID]]="","",SUMIFS(tblSales[實收金額],tblSales[客戶ID],tblCRM[[#This Row],[客戶ID]]))</f>
        <v/>
      </c>
    </row>
    <row r="87" spans="24:24" ht="19.95" customHeight="1">
      <c r="X87" s="6" t="str">
        <f>IF(tblCRM[[#This Row],[客戶ID]]="","",SUMIFS(tblSales[實收金額],tblSales[客戶ID],tblCRM[[#This Row],[客戶ID]]))</f>
        <v/>
      </c>
    </row>
    <row r="88" spans="24:24" ht="19.95" customHeight="1">
      <c r="X88" s="6" t="str">
        <f>IF(tblCRM[[#This Row],[客戶ID]]="","",SUMIFS(tblSales[實收金額],tblSales[客戶ID],tblCRM[[#This Row],[客戶ID]]))</f>
        <v/>
      </c>
    </row>
    <row r="89" spans="24:24" ht="19.95" customHeight="1">
      <c r="X89" s="6" t="str">
        <f>IF(tblCRM[[#This Row],[客戶ID]]="","",SUMIFS(tblSales[實收金額],tblSales[客戶ID],tblCRM[[#This Row],[客戶ID]]))</f>
        <v/>
      </c>
    </row>
    <row r="90" spans="24:24" ht="19.95" customHeight="1">
      <c r="X90" s="6" t="str">
        <f>IF(tblCRM[[#This Row],[客戶ID]]="","",SUMIFS(tblSales[實收金額],tblSales[客戶ID],tblCRM[[#This Row],[客戶ID]]))</f>
        <v/>
      </c>
    </row>
    <row r="91" spans="24:24" ht="19.95" customHeight="1">
      <c r="X91" s="6" t="str">
        <f>IF(tblCRM[[#This Row],[客戶ID]]="","",SUMIFS(tblSales[實收金額],tblSales[客戶ID],tblCRM[[#This Row],[客戶ID]]))</f>
        <v/>
      </c>
    </row>
    <row r="92" spans="24:24" ht="19.95" customHeight="1">
      <c r="X92" s="6" t="str">
        <f>IF(tblCRM[[#This Row],[客戶ID]]="","",SUMIFS(tblSales[實收金額],tblSales[客戶ID],tblCRM[[#This Row],[客戶ID]]))</f>
        <v/>
      </c>
    </row>
    <row r="93" spans="24:24" ht="19.95" customHeight="1">
      <c r="X93" s="6" t="str">
        <f>IF(tblCRM[[#This Row],[客戶ID]]="","",SUMIFS(tblSales[實收金額],tblSales[客戶ID],tblCRM[[#This Row],[客戶ID]]))</f>
        <v/>
      </c>
    </row>
    <row r="94" spans="24:24" ht="19.95" customHeight="1">
      <c r="X94" s="6" t="str">
        <f>IF(tblCRM[[#This Row],[客戶ID]]="","",SUMIFS(tblSales[實收金額],tblSales[客戶ID],tblCRM[[#This Row],[客戶ID]]))</f>
        <v/>
      </c>
    </row>
    <row r="95" spans="24:24" ht="19.95" customHeight="1">
      <c r="X95" s="6" t="str">
        <f>IF(tblCRM[[#This Row],[客戶ID]]="","",SUMIFS(tblSales[實收金額],tblSales[客戶ID],tblCRM[[#This Row],[客戶ID]]))</f>
        <v/>
      </c>
    </row>
    <row r="96" spans="24:24" ht="19.95" customHeight="1">
      <c r="X96" s="6" t="str">
        <f>IF(tblCRM[[#This Row],[客戶ID]]="","",SUMIFS(tblSales[實收金額],tblSales[客戶ID],tblCRM[[#This Row],[客戶ID]]))</f>
        <v/>
      </c>
    </row>
    <row r="97" spans="24:24" ht="19.95" customHeight="1">
      <c r="X97" s="6" t="str">
        <f>IF(tblCRM[[#This Row],[客戶ID]]="","",SUMIFS(tblSales[實收金額],tblSales[客戶ID],tblCRM[[#This Row],[客戶ID]]))</f>
        <v/>
      </c>
    </row>
    <row r="98" spans="24:24" ht="19.95" customHeight="1">
      <c r="X98" s="6" t="str">
        <f>IF(tblCRM[[#This Row],[客戶ID]]="","",SUMIFS(tblSales[實收金額],tblSales[客戶ID],tblCRM[[#This Row],[客戶ID]]))</f>
        <v/>
      </c>
    </row>
    <row r="99" spans="24:24" ht="19.95" customHeight="1">
      <c r="X99" s="6" t="str">
        <f>IF(tblCRM[[#This Row],[客戶ID]]="","",SUMIFS(tblSales[實收金額],tblSales[客戶ID],tblCRM[[#This Row],[客戶ID]]))</f>
        <v/>
      </c>
    </row>
    <row r="100" spans="24:24" ht="19.95" customHeight="1">
      <c r="X100" s="6" t="str">
        <f>IF(tblCRM[[#This Row],[客戶ID]]="","",SUMIFS(tblSales[實收金額],tblSales[客戶ID],tblCRM[[#This Row],[客戶ID]]))</f>
        <v/>
      </c>
    </row>
    <row r="101" spans="24:24" ht="19.95" customHeight="1">
      <c r="X101" s="6" t="str">
        <f>IF(tblCRM[[#This Row],[客戶ID]]="","",SUMIFS(tblSales[實收金額],tblSales[客戶ID],tblCRM[[#This Row],[客戶ID]]))</f>
        <v/>
      </c>
    </row>
    <row r="102" spans="24:24" ht="19.95" customHeight="1">
      <c r="X102" s="6" t="str">
        <f>IF(tblCRM[[#This Row],[客戶ID]]="","",SUMIFS(tblSales[實收金額],tblSales[客戶ID],tblCRM[[#This Row],[客戶ID]]))</f>
        <v/>
      </c>
    </row>
    <row r="103" spans="24:24" ht="19.95" customHeight="1">
      <c r="X103" s="6" t="str">
        <f>IF(tblCRM[[#This Row],[客戶ID]]="","",SUMIFS(tblSales[實收金額],tblSales[客戶ID],tblCRM[[#This Row],[客戶ID]]))</f>
        <v/>
      </c>
    </row>
    <row r="104" spans="24:24" ht="19.95" customHeight="1">
      <c r="X104" s="6" t="str">
        <f>IF(tblCRM[[#This Row],[客戶ID]]="","",SUMIFS(tblSales[實收金額],tblSales[客戶ID],tblCRM[[#This Row],[客戶ID]]))</f>
        <v/>
      </c>
    </row>
    <row r="105" spans="24:24" ht="19.95" customHeight="1">
      <c r="X105" s="6" t="str">
        <f>IF(tblCRM[[#This Row],[客戶ID]]="","",SUMIFS(tblSales[實收金額],tblSales[客戶ID],tblCRM[[#This Row],[客戶ID]]))</f>
        <v/>
      </c>
    </row>
    <row r="106" spans="24:24" ht="19.95" customHeight="1">
      <c r="X106" s="6" t="str">
        <f>IF(tblCRM[[#This Row],[客戶ID]]="","",SUMIFS(tblSales[實收金額],tblSales[客戶ID],tblCRM[[#This Row],[客戶ID]]))</f>
        <v/>
      </c>
    </row>
    <row r="107" spans="24:24" ht="19.95" customHeight="1">
      <c r="X107" s="6" t="str">
        <f>IF(tblCRM[[#This Row],[客戶ID]]="","",SUMIFS(tblSales[實收金額],tblSales[客戶ID],tblCRM[[#This Row],[客戶ID]]))</f>
        <v/>
      </c>
    </row>
    <row r="108" spans="24:24" ht="19.95" customHeight="1">
      <c r="X108" s="6" t="str">
        <f>IF(tblCRM[[#This Row],[客戶ID]]="","",SUMIFS(tblSales[實收金額],tblSales[客戶ID],tblCRM[[#This Row],[客戶ID]]))</f>
        <v/>
      </c>
    </row>
    <row r="109" spans="24:24" ht="19.95" customHeight="1">
      <c r="X109" s="6" t="str">
        <f>IF(tblCRM[[#This Row],[客戶ID]]="","",SUMIFS(tblSales[實收金額],tblSales[客戶ID],tblCRM[[#This Row],[客戶ID]]))</f>
        <v/>
      </c>
    </row>
    <row r="110" spans="24:24" ht="19.95" customHeight="1">
      <c r="X110" s="6" t="str">
        <f>IF(tblCRM[[#This Row],[客戶ID]]="","",SUMIFS(tblSales[實收金額],tblSales[客戶ID],tblCRM[[#This Row],[客戶ID]]))</f>
        <v/>
      </c>
    </row>
    <row r="111" spans="24:24" ht="19.95" customHeight="1">
      <c r="X111" s="6" t="str">
        <f>IF(tblCRM[[#This Row],[客戶ID]]="","",SUMIFS(tblSales[實收金額],tblSales[客戶ID],tblCRM[[#This Row],[客戶ID]]))</f>
        <v/>
      </c>
    </row>
    <row r="112" spans="24:24" ht="19.95" customHeight="1">
      <c r="X112" s="6" t="str">
        <f>IF(tblCRM[[#This Row],[客戶ID]]="","",SUMIFS(tblSales[實收金額],tblSales[客戶ID],tblCRM[[#This Row],[客戶ID]]))</f>
        <v/>
      </c>
    </row>
    <row r="113" spans="24:24" ht="19.95" customHeight="1">
      <c r="X113" s="6" t="str">
        <f>IF(tblCRM[[#This Row],[客戶ID]]="","",SUMIFS(tblSales[實收金額],tblSales[客戶ID],tblCRM[[#This Row],[客戶ID]]))</f>
        <v/>
      </c>
    </row>
    <row r="114" spans="24:24" ht="19.95" customHeight="1">
      <c r="X114" s="6" t="str">
        <f>IF(tblCRM[[#This Row],[客戶ID]]="","",SUMIFS(tblSales[實收金額],tblSales[客戶ID],tblCRM[[#This Row],[客戶ID]]))</f>
        <v/>
      </c>
    </row>
    <row r="115" spans="24:24" ht="19.95" customHeight="1">
      <c r="X115" s="6" t="str">
        <f>IF(tblCRM[[#This Row],[客戶ID]]="","",SUMIFS(tblSales[實收金額],tblSales[客戶ID],tblCRM[[#This Row],[客戶ID]]))</f>
        <v/>
      </c>
    </row>
    <row r="116" spans="24:24" ht="19.95" customHeight="1">
      <c r="X116" s="6" t="str">
        <f>IF(tblCRM[[#This Row],[客戶ID]]="","",SUMIFS(tblSales[實收金額],tblSales[客戶ID],tblCRM[[#This Row],[客戶ID]]))</f>
        <v/>
      </c>
    </row>
    <row r="117" spans="24:24" ht="19.95" customHeight="1">
      <c r="X117" s="6" t="str">
        <f>IF(tblCRM[[#This Row],[客戶ID]]="","",SUMIFS(tblSales[實收金額],tblSales[客戶ID],tblCRM[[#This Row],[客戶ID]]))</f>
        <v/>
      </c>
    </row>
    <row r="118" spans="24:24" ht="19.95" customHeight="1">
      <c r="X118" s="6" t="str">
        <f>IF(tblCRM[[#This Row],[客戶ID]]="","",SUMIFS(tblSales[實收金額],tblSales[客戶ID],tblCRM[[#This Row],[客戶ID]]))</f>
        <v/>
      </c>
    </row>
    <row r="119" spans="24:24" ht="19.95" customHeight="1">
      <c r="X119" s="6" t="str">
        <f>IF(tblCRM[[#This Row],[客戶ID]]="","",SUMIFS(tblSales[實收金額],tblSales[客戶ID],tblCRM[[#This Row],[客戶ID]]))</f>
        <v/>
      </c>
    </row>
    <row r="120" spans="24:24" ht="19.95" customHeight="1">
      <c r="X120" s="6" t="str">
        <f>IF(tblCRM[[#This Row],[客戶ID]]="","",SUMIFS(tblSales[實收金額],tblSales[客戶ID],tblCRM[[#This Row],[客戶ID]]))</f>
        <v/>
      </c>
    </row>
    <row r="121" spans="24:24" ht="19.95" customHeight="1">
      <c r="X121" s="6" t="str">
        <f>IF(tblCRM[[#This Row],[客戶ID]]="","",SUMIFS(tblSales[實收金額],tblSales[客戶ID],tblCRM[[#This Row],[客戶ID]]))</f>
        <v/>
      </c>
    </row>
    <row r="122" spans="24:24" ht="19.95" customHeight="1">
      <c r="X122" s="6" t="str">
        <f>IF(tblCRM[[#This Row],[客戶ID]]="","",SUMIFS(tblSales[實收金額],tblSales[客戶ID],tblCRM[[#This Row],[客戶ID]]))</f>
        <v/>
      </c>
    </row>
    <row r="123" spans="24:24" ht="19.95" customHeight="1">
      <c r="X123" s="6" t="str">
        <f>IF(tblCRM[[#This Row],[客戶ID]]="","",SUMIFS(tblSales[實收金額],tblSales[客戶ID],tblCRM[[#This Row],[客戶ID]]))</f>
        <v/>
      </c>
    </row>
    <row r="124" spans="24:24" ht="19.95" customHeight="1">
      <c r="X124" s="6" t="str">
        <f>IF(tblCRM[[#This Row],[客戶ID]]="","",SUMIFS(tblSales[實收金額],tblSales[客戶ID],tblCRM[[#This Row],[客戶ID]]))</f>
        <v/>
      </c>
    </row>
    <row r="125" spans="24:24" ht="19.95" customHeight="1">
      <c r="X125" s="6" t="str">
        <f>IF(tblCRM[[#This Row],[客戶ID]]="","",SUMIFS(tblSales[實收金額],tblSales[客戶ID],tblCRM[[#This Row],[客戶ID]]))</f>
        <v/>
      </c>
    </row>
    <row r="126" spans="24:24" ht="19.95" customHeight="1">
      <c r="X126" s="6" t="str">
        <f>IF(tblCRM[[#This Row],[客戶ID]]="","",SUMIFS(tblSales[實收金額],tblSales[客戶ID],tblCRM[[#This Row],[客戶ID]]))</f>
        <v/>
      </c>
    </row>
    <row r="127" spans="24:24" ht="19.95" customHeight="1">
      <c r="X127" s="6" t="str">
        <f>IF(tblCRM[[#This Row],[客戶ID]]="","",SUMIFS(tblSales[實收金額],tblSales[客戶ID],tblCRM[[#This Row],[客戶ID]]))</f>
        <v/>
      </c>
    </row>
    <row r="128" spans="24:24" ht="19.95" customHeight="1">
      <c r="X128" s="6" t="str">
        <f>IF(tblCRM[[#This Row],[客戶ID]]="","",SUMIFS(tblSales[實收金額],tblSales[客戶ID],tblCRM[[#This Row],[客戶ID]]))</f>
        <v/>
      </c>
    </row>
    <row r="129" spans="24:24" ht="19.95" customHeight="1">
      <c r="X129" s="6" t="str">
        <f>IF(tblCRM[[#This Row],[客戶ID]]="","",SUMIFS(tblSales[實收金額],tblSales[客戶ID],tblCRM[[#This Row],[客戶ID]]))</f>
        <v/>
      </c>
    </row>
    <row r="130" spans="24:24" ht="19.95" customHeight="1">
      <c r="X130" s="6" t="str">
        <f>IF(tblCRM[[#This Row],[客戶ID]]="","",SUMIFS(tblSales[實收金額],tblSales[客戶ID],tblCRM[[#This Row],[客戶ID]]))</f>
        <v/>
      </c>
    </row>
    <row r="131" spans="24:24" ht="19.95" customHeight="1">
      <c r="X131" s="6" t="str">
        <f>IF(tblCRM[[#This Row],[客戶ID]]="","",SUMIFS(tblSales[實收金額],tblSales[客戶ID],tblCRM[[#This Row],[客戶ID]]))</f>
        <v/>
      </c>
    </row>
    <row r="132" spans="24:24" ht="19.95" customHeight="1">
      <c r="X132" s="6" t="str">
        <f>IF(tblCRM[[#This Row],[客戶ID]]="","",SUMIFS(tblSales[實收金額],tblSales[客戶ID],tblCRM[[#This Row],[客戶ID]]))</f>
        <v/>
      </c>
    </row>
    <row r="133" spans="24:24" ht="19.95" customHeight="1">
      <c r="X133" s="6" t="str">
        <f>IF(tblCRM[[#This Row],[客戶ID]]="","",SUMIFS(tblSales[實收金額],tblSales[客戶ID],tblCRM[[#This Row],[客戶ID]]))</f>
        <v/>
      </c>
    </row>
    <row r="134" spans="24:24" ht="19.95" customHeight="1">
      <c r="X134" s="6" t="str">
        <f>IF(tblCRM[[#This Row],[客戶ID]]="","",SUMIFS(tblSales[實收金額],tblSales[客戶ID],tblCRM[[#This Row],[客戶ID]]))</f>
        <v/>
      </c>
    </row>
    <row r="135" spans="24:24" ht="19.95" customHeight="1">
      <c r="X135" s="6" t="str">
        <f>IF(tblCRM[[#This Row],[客戶ID]]="","",SUMIFS(tblSales[實收金額],tblSales[客戶ID],tblCRM[[#This Row],[客戶ID]]))</f>
        <v/>
      </c>
    </row>
    <row r="136" spans="24:24" ht="19.95" customHeight="1">
      <c r="X136" s="6" t="str">
        <f>IF(tblCRM[[#This Row],[客戶ID]]="","",SUMIFS(tblSales[實收金額],tblSales[客戶ID],tblCRM[[#This Row],[客戶ID]]))</f>
        <v/>
      </c>
    </row>
    <row r="137" spans="24:24" ht="19.95" customHeight="1">
      <c r="X137" s="6" t="str">
        <f>IF(tblCRM[[#This Row],[客戶ID]]="","",SUMIFS(tblSales[實收金額],tblSales[客戶ID],tblCRM[[#This Row],[客戶ID]]))</f>
        <v/>
      </c>
    </row>
    <row r="138" spans="24:24" ht="19.95" customHeight="1">
      <c r="X138" s="6" t="str">
        <f>IF(tblCRM[[#This Row],[客戶ID]]="","",SUMIFS(tblSales[實收金額],tblSales[客戶ID],tblCRM[[#This Row],[客戶ID]]))</f>
        <v/>
      </c>
    </row>
    <row r="139" spans="24:24" ht="19.95" customHeight="1">
      <c r="X139" s="6" t="str">
        <f>IF(tblCRM[[#This Row],[客戶ID]]="","",SUMIFS(tblSales[實收金額],tblSales[客戶ID],tblCRM[[#This Row],[客戶ID]]))</f>
        <v/>
      </c>
    </row>
    <row r="140" spans="24:24" ht="19.95" customHeight="1">
      <c r="X140" s="6" t="str">
        <f>IF(tblCRM[[#This Row],[客戶ID]]="","",SUMIFS(tblSales[實收金額],tblSales[客戶ID],tblCRM[[#This Row],[客戶ID]]))</f>
        <v/>
      </c>
    </row>
    <row r="141" spans="24:24" ht="19.95" customHeight="1">
      <c r="X141" s="6" t="str">
        <f>IF(tblCRM[[#This Row],[客戶ID]]="","",SUMIFS(tblSales[實收金額],tblSales[客戶ID],tblCRM[[#This Row],[客戶ID]]))</f>
        <v/>
      </c>
    </row>
    <row r="142" spans="24:24" ht="19.95" customHeight="1">
      <c r="X142" s="6" t="str">
        <f>IF(tblCRM[[#This Row],[客戶ID]]="","",SUMIFS(tblSales[實收金額],tblSales[客戶ID],tblCRM[[#This Row],[客戶ID]]))</f>
        <v/>
      </c>
    </row>
    <row r="143" spans="24:24" ht="19.95" customHeight="1">
      <c r="X143" s="6" t="str">
        <f>IF(tblCRM[[#This Row],[客戶ID]]="","",SUMIFS(tblSales[實收金額],tblSales[客戶ID],tblCRM[[#This Row],[客戶ID]]))</f>
        <v/>
      </c>
    </row>
    <row r="144" spans="24:24" ht="19.95" customHeight="1">
      <c r="X144" s="6" t="str">
        <f>IF(tblCRM[[#This Row],[客戶ID]]="","",SUMIFS(tblSales[實收金額],tblSales[客戶ID],tblCRM[[#This Row],[客戶ID]]))</f>
        <v/>
      </c>
    </row>
    <row r="145" spans="24:24" ht="19.95" customHeight="1">
      <c r="X145" s="6" t="str">
        <f>IF(tblCRM[[#This Row],[客戶ID]]="","",SUMIFS(tblSales[實收金額],tblSales[客戶ID],tblCRM[[#This Row],[客戶ID]]))</f>
        <v/>
      </c>
    </row>
    <row r="146" spans="24:24" ht="19.95" customHeight="1">
      <c r="X146" s="6" t="str">
        <f>IF(tblCRM[[#This Row],[客戶ID]]="","",SUMIFS(tblSales[實收金額],tblSales[客戶ID],tblCRM[[#This Row],[客戶ID]]))</f>
        <v/>
      </c>
    </row>
    <row r="147" spans="24:24" ht="19.95" customHeight="1">
      <c r="X147" s="6" t="str">
        <f>IF(tblCRM[[#This Row],[客戶ID]]="","",SUMIFS(tblSales[實收金額],tblSales[客戶ID],tblCRM[[#This Row],[客戶ID]]))</f>
        <v/>
      </c>
    </row>
    <row r="148" spans="24:24" ht="19.95" customHeight="1">
      <c r="X148" s="6" t="str">
        <f>IF(tblCRM[[#This Row],[客戶ID]]="","",SUMIFS(tblSales[實收金額],tblSales[客戶ID],tblCRM[[#This Row],[客戶ID]]))</f>
        <v/>
      </c>
    </row>
    <row r="149" spans="24:24" ht="19.95" customHeight="1">
      <c r="X149" s="6" t="str">
        <f>IF(tblCRM[[#This Row],[客戶ID]]="","",SUMIFS(tblSales[實收金額],tblSales[客戶ID],tblCRM[[#This Row],[客戶ID]]))</f>
        <v/>
      </c>
    </row>
    <row r="150" spans="24:24" ht="19.95" customHeight="1">
      <c r="X150" s="6" t="str">
        <f>IF(tblCRM[[#This Row],[客戶ID]]="","",SUMIFS(tblSales[實收金額],tblSales[客戶ID],tblCRM[[#This Row],[客戶ID]]))</f>
        <v/>
      </c>
    </row>
    <row r="151" spans="24:24" ht="19.95" customHeight="1">
      <c r="X151" s="6" t="str">
        <f>IF(tblCRM[[#This Row],[客戶ID]]="","",SUMIFS(tblSales[實收金額],tblSales[客戶ID],tblCRM[[#This Row],[客戶ID]]))</f>
        <v/>
      </c>
    </row>
    <row r="152" spans="24:24" ht="19.95" customHeight="1">
      <c r="X152" s="6" t="str">
        <f>IF(tblCRM[[#This Row],[客戶ID]]="","",SUMIFS(tblSales[實收金額],tblSales[客戶ID],tblCRM[[#This Row],[客戶ID]]))</f>
        <v/>
      </c>
    </row>
    <row r="153" spans="24:24" ht="19.95" customHeight="1">
      <c r="X153" s="6" t="str">
        <f>IF(tblCRM[[#This Row],[客戶ID]]="","",SUMIFS(tblSales[實收金額],tblSales[客戶ID],tblCRM[[#This Row],[客戶ID]]))</f>
        <v/>
      </c>
    </row>
    <row r="154" spans="24:24" ht="19.95" customHeight="1">
      <c r="X154" s="6" t="str">
        <f>IF(tblCRM[[#This Row],[客戶ID]]="","",SUMIFS(tblSales[實收金額],tblSales[客戶ID],tblCRM[[#This Row],[客戶ID]]))</f>
        <v/>
      </c>
    </row>
    <row r="155" spans="24:24" ht="19.95" customHeight="1">
      <c r="X155" s="6" t="str">
        <f>IF(tblCRM[[#This Row],[客戶ID]]="","",SUMIFS(tblSales[實收金額],tblSales[客戶ID],tblCRM[[#This Row],[客戶ID]]))</f>
        <v/>
      </c>
    </row>
    <row r="156" spans="24:24" ht="19.95" customHeight="1">
      <c r="X156" s="6" t="str">
        <f>IF(tblCRM[[#This Row],[客戶ID]]="","",SUMIFS(tblSales[實收金額],tblSales[客戶ID],tblCRM[[#This Row],[客戶ID]]))</f>
        <v/>
      </c>
    </row>
    <row r="157" spans="24:24" ht="19.95" customHeight="1">
      <c r="X157" s="6" t="str">
        <f>IF(tblCRM[[#This Row],[客戶ID]]="","",SUMIFS(tblSales[實收金額],tblSales[客戶ID],tblCRM[[#This Row],[客戶ID]]))</f>
        <v/>
      </c>
    </row>
    <row r="158" spans="24:24" ht="19.95" customHeight="1">
      <c r="X158" s="6" t="str">
        <f>IF(tblCRM[[#This Row],[客戶ID]]="","",SUMIFS(tblSales[實收金額],tblSales[客戶ID],tblCRM[[#This Row],[客戶ID]]))</f>
        <v/>
      </c>
    </row>
    <row r="159" spans="24:24" ht="19.95" customHeight="1">
      <c r="X159" s="6" t="str">
        <f>IF(tblCRM[[#This Row],[客戶ID]]="","",SUMIFS(tblSales[實收金額],tblSales[客戶ID],tblCRM[[#This Row],[客戶ID]]))</f>
        <v/>
      </c>
    </row>
    <row r="160" spans="24:24" ht="19.95" customHeight="1">
      <c r="X160" s="6" t="str">
        <f>IF(tblCRM[[#This Row],[客戶ID]]="","",SUMIFS(tblSales[實收金額],tblSales[客戶ID],tblCRM[[#This Row],[客戶ID]]))</f>
        <v/>
      </c>
    </row>
    <row r="161" spans="24:24" ht="19.95" customHeight="1">
      <c r="X161" s="6" t="str">
        <f>IF(tblCRM[[#This Row],[客戶ID]]="","",SUMIFS(tblSales[實收金額],tblSales[客戶ID],tblCRM[[#This Row],[客戶ID]]))</f>
        <v/>
      </c>
    </row>
    <row r="162" spans="24:24" ht="19.95" customHeight="1">
      <c r="X162" s="6" t="str">
        <f>IF(tblCRM[[#This Row],[客戶ID]]="","",SUMIFS(tblSales[實收金額],tblSales[客戶ID],tblCRM[[#This Row],[客戶ID]]))</f>
        <v/>
      </c>
    </row>
    <row r="163" spans="24:24" ht="19.95" customHeight="1">
      <c r="X163" s="6" t="str">
        <f>IF(tblCRM[[#This Row],[客戶ID]]="","",SUMIFS(tblSales[實收金額],tblSales[客戶ID],tblCRM[[#This Row],[客戶ID]]))</f>
        <v/>
      </c>
    </row>
    <row r="164" spans="24:24" ht="19.95" customHeight="1">
      <c r="X164" s="6" t="str">
        <f>IF(tblCRM[[#This Row],[客戶ID]]="","",SUMIFS(tblSales[實收金額],tblSales[客戶ID],tblCRM[[#This Row],[客戶ID]]))</f>
        <v/>
      </c>
    </row>
    <row r="165" spans="24:24" ht="19.95" customHeight="1">
      <c r="X165" s="6" t="str">
        <f>IF(tblCRM[[#This Row],[客戶ID]]="","",SUMIFS(tblSales[實收金額],tblSales[客戶ID],tblCRM[[#This Row],[客戶ID]]))</f>
        <v/>
      </c>
    </row>
    <row r="166" spans="24:24" ht="19.95" customHeight="1">
      <c r="X166" s="6" t="str">
        <f>IF(tblCRM[[#This Row],[客戶ID]]="","",SUMIFS(tblSales[實收金額],tblSales[客戶ID],tblCRM[[#This Row],[客戶ID]]))</f>
        <v/>
      </c>
    </row>
    <row r="167" spans="24:24" ht="19.95" customHeight="1">
      <c r="X167" s="6" t="str">
        <f>IF(tblCRM[[#This Row],[客戶ID]]="","",SUMIFS(tblSales[實收金額],tblSales[客戶ID],tblCRM[[#This Row],[客戶ID]]))</f>
        <v/>
      </c>
    </row>
    <row r="168" spans="24:24" ht="19.95" customHeight="1">
      <c r="X168" s="6" t="str">
        <f>IF(tblCRM[[#This Row],[客戶ID]]="","",SUMIFS(tblSales[實收金額],tblSales[客戶ID],tblCRM[[#This Row],[客戶ID]]))</f>
        <v/>
      </c>
    </row>
    <row r="169" spans="24:24" ht="19.95" customHeight="1">
      <c r="X169" s="6" t="str">
        <f>IF(tblCRM[[#This Row],[客戶ID]]="","",SUMIFS(tblSales[實收金額],tblSales[客戶ID],tblCRM[[#This Row],[客戶ID]]))</f>
        <v/>
      </c>
    </row>
    <row r="170" spans="24:24" ht="19.95" customHeight="1">
      <c r="X170" s="6" t="str">
        <f>IF(tblCRM[[#This Row],[客戶ID]]="","",SUMIFS(tblSales[實收金額],tblSales[客戶ID],tblCRM[[#This Row],[客戶ID]]))</f>
        <v/>
      </c>
    </row>
    <row r="171" spans="24:24" ht="19.95" customHeight="1">
      <c r="X171" s="6" t="str">
        <f>IF(tblCRM[[#This Row],[客戶ID]]="","",SUMIFS(tblSales[實收金額],tblSales[客戶ID],tblCRM[[#This Row],[客戶ID]]))</f>
        <v/>
      </c>
    </row>
    <row r="172" spans="24:24" ht="19.95" customHeight="1">
      <c r="X172" s="6" t="str">
        <f>IF(tblCRM[[#This Row],[客戶ID]]="","",SUMIFS(tblSales[實收金額],tblSales[客戶ID],tblCRM[[#This Row],[客戶ID]]))</f>
        <v/>
      </c>
    </row>
    <row r="173" spans="24:24" ht="19.95" customHeight="1">
      <c r="X173" s="6" t="str">
        <f>IF(tblCRM[[#This Row],[客戶ID]]="","",SUMIFS(tblSales[實收金額],tblSales[客戶ID],tblCRM[[#This Row],[客戶ID]]))</f>
        <v/>
      </c>
    </row>
    <row r="174" spans="24:24" ht="19.95" customHeight="1">
      <c r="X174" s="6" t="str">
        <f>IF(tblCRM[[#This Row],[客戶ID]]="","",SUMIFS(tblSales[實收金額],tblSales[客戶ID],tblCRM[[#This Row],[客戶ID]]))</f>
        <v/>
      </c>
    </row>
    <row r="175" spans="24:24" ht="19.95" customHeight="1">
      <c r="X175" s="6" t="str">
        <f>IF(tblCRM[[#This Row],[客戶ID]]="","",SUMIFS(tblSales[實收金額],tblSales[客戶ID],tblCRM[[#This Row],[客戶ID]]))</f>
        <v/>
      </c>
    </row>
    <row r="176" spans="24:24" ht="19.95" customHeight="1">
      <c r="X176" s="6" t="str">
        <f>IF(tblCRM[[#This Row],[客戶ID]]="","",SUMIFS(tblSales[實收金額],tblSales[客戶ID],tblCRM[[#This Row],[客戶ID]]))</f>
        <v/>
      </c>
    </row>
    <row r="177" spans="24:24" ht="19.95" customHeight="1">
      <c r="X177" s="6" t="str">
        <f>IF(tblCRM[[#This Row],[客戶ID]]="","",SUMIFS(tblSales[實收金額],tblSales[客戶ID],tblCRM[[#This Row],[客戶ID]]))</f>
        <v/>
      </c>
    </row>
    <row r="178" spans="24:24" ht="19.95" customHeight="1">
      <c r="X178" s="6" t="str">
        <f>IF(tblCRM[[#This Row],[客戶ID]]="","",SUMIFS(tblSales[實收金額],tblSales[客戶ID],tblCRM[[#This Row],[客戶ID]]))</f>
        <v/>
      </c>
    </row>
    <row r="179" spans="24:24" ht="19.95" customHeight="1">
      <c r="X179" s="6" t="str">
        <f>IF(tblCRM[[#This Row],[客戶ID]]="","",SUMIFS(tblSales[實收金額],tblSales[客戶ID],tblCRM[[#This Row],[客戶ID]]))</f>
        <v/>
      </c>
    </row>
    <row r="180" spans="24:24" ht="19.95" customHeight="1">
      <c r="X180" s="6" t="str">
        <f>IF(tblCRM[[#This Row],[客戶ID]]="","",SUMIFS(tblSales[實收金額],tblSales[客戶ID],tblCRM[[#This Row],[客戶ID]]))</f>
        <v/>
      </c>
    </row>
    <row r="181" spans="24:24" ht="19.95" customHeight="1">
      <c r="X181" s="6" t="str">
        <f>IF(tblCRM[[#This Row],[客戶ID]]="","",SUMIFS(tblSales[實收金額],tblSales[客戶ID],tblCRM[[#This Row],[客戶ID]]))</f>
        <v/>
      </c>
    </row>
    <row r="182" spans="24:24" ht="19.95" customHeight="1">
      <c r="X182" s="6" t="str">
        <f>IF(tblCRM[[#This Row],[客戶ID]]="","",SUMIFS(tblSales[實收金額],tblSales[客戶ID],tblCRM[[#This Row],[客戶ID]]))</f>
        <v/>
      </c>
    </row>
    <row r="183" spans="24:24" ht="19.95" customHeight="1">
      <c r="X183" s="6" t="str">
        <f>IF(tblCRM[[#This Row],[客戶ID]]="","",SUMIFS(tblSales[實收金額],tblSales[客戶ID],tblCRM[[#This Row],[客戶ID]]))</f>
        <v/>
      </c>
    </row>
    <row r="184" spans="24:24" ht="19.95" customHeight="1">
      <c r="X184" s="6" t="str">
        <f>IF(tblCRM[[#This Row],[客戶ID]]="","",SUMIFS(tblSales[實收金額],tblSales[客戶ID],tblCRM[[#This Row],[客戶ID]]))</f>
        <v/>
      </c>
    </row>
    <row r="185" spans="24:24" ht="19.95" customHeight="1">
      <c r="X185" s="6" t="str">
        <f>IF(tblCRM[[#This Row],[客戶ID]]="","",SUMIFS(tblSales[實收金額],tblSales[客戶ID],tblCRM[[#This Row],[客戶ID]]))</f>
        <v/>
      </c>
    </row>
    <row r="186" spans="24:24" ht="19.95" customHeight="1">
      <c r="X186" s="6" t="str">
        <f>IF(tblCRM[[#This Row],[客戶ID]]="","",SUMIFS(tblSales[實收金額],tblSales[客戶ID],tblCRM[[#This Row],[客戶ID]]))</f>
        <v/>
      </c>
    </row>
    <row r="187" spans="24:24" ht="19.95" customHeight="1">
      <c r="X187" s="6" t="str">
        <f>IF(tblCRM[[#This Row],[客戶ID]]="","",SUMIFS(tblSales[實收金額],tblSales[客戶ID],tblCRM[[#This Row],[客戶ID]]))</f>
        <v/>
      </c>
    </row>
    <row r="188" spans="24:24" ht="19.95" customHeight="1">
      <c r="X188" s="6" t="str">
        <f>IF(tblCRM[[#This Row],[客戶ID]]="","",SUMIFS(tblSales[實收金額],tblSales[客戶ID],tblCRM[[#This Row],[客戶ID]]))</f>
        <v/>
      </c>
    </row>
    <row r="189" spans="24:24" ht="19.95" customHeight="1">
      <c r="X189" s="6" t="str">
        <f>IF(tblCRM[[#This Row],[客戶ID]]="","",SUMIFS(tblSales[實收金額],tblSales[客戶ID],tblCRM[[#This Row],[客戶ID]]))</f>
        <v/>
      </c>
    </row>
    <row r="190" spans="24:24" ht="19.95" customHeight="1">
      <c r="X190" s="6" t="str">
        <f>IF(tblCRM[[#This Row],[客戶ID]]="","",SUMIFS(tblSales[實收金額],tblSales[客戶ID],tblCRM[[#This Row],[客戶ID]]))</f>
        <v/>
      </c>
    </row>
    <row r="191" spans="24:24" ht="19.95" customHeight="1">
      <c r="X191" s="6" t="str">
        <f>IF(tblCRM[[#This Row],[客戶ID]]="","",SUMIFS(tblSales[實收金額],tblSales[客戶ID],tblCRM[[#This Row],[客戶ID]]))</f>
        <v/>
      </c>
    </row>
    <row r="192" spans="24:24" ht="19.95" customHeight="1">
      <c r="X192" s="6" t="str">
        <f>IF(tblCRM[[#This Row],[客戶ID]]="","",SUMIFS(tblSales[實收金額],tblSales[客戶ID],tblCRM[[#This Row],[客戶ID]]))</f>
        <v/>
      </c>
    </row>
    <row r="193" spans="24:24" ht="19.95" customHeight="1">
      <c r="X193" s="6" t="str">
        <f>IF(tblCRM[[#This Row],[客戶ID]]="","",SUMIFS(tblSales[實收金額],tblSales[客戶ID],tblCRM[[#This Row],[客戶ID]]))</f>
        <v/>
      </c>
    </row>
    <row r="194" spans="24:24" ht="19.95" customHeight="1">
      <c r="X194" s="6" t="str">
        <f>IF(tblCRM[[#This Row],[客戶ID]]="","",SUMIFS(tblSales[實收金額],tblSales[客戶ID],tblCRM[[#This Row],[客戶ID]]))</f>
        <v/>
      </c>
    </row>
    <row r="195" spans="24:24" ht="19.95" customHeight="1">
      <c r="X195" s="6" t="str">
        <f>IF(tblCRM[[#This Row],[客戶ID]]="","",SUMIFS(tblSales[實收金額],tblSales[客戶ID],tblCRM[[#This Row],[客戶ID]]))</f>
        <v/>
      </c>
    </row>
    <row r="196" spans="24:24" ht="19.95" customHeight="1">
      <c r="X196" s="6" t="str">
        <f>IF(tblCRM[[#This Row],[客戶ID]]="","",SUMIFS(tblSales[實收金額],tblSales[客戶ID],tblCRM[[#This Row],[客戶ID]]))</f>
        <v/>
      </c>
    </row>
    <row r="197" spans="24:24" ht="19.95" customHeight="1">
      <c r="X197" s="6" t="str">
        <f>IF(tblCRM[[#This Row],[客戶ID]]="","",SUMIFS(tblSales[實收金額],tblSales[客戶ID],tblCRM[[#This Row],[客戶ID]]))</f>
        <v/>
      </c>
    </row>
    <row r="198" spans="24:24" ht="19.95" customHeight="1">
      <c r="X198" s="6" t="str">
        <f>IF(tblCRM[[#This Row],[客戶ID]]="","",SUMIFS(tblSales[實收金額],tblSales[客戶ID],tblCRM[[#This Row],[客戶ID]]))</f>
        <v/>
      </c>
    </row>
    <row r="199" spans="24:24" ht="19.95" customHeight="1">
      <c r="X199" s="6" t="str">
        <f>IF(tblCRM[[#This Row],[客戶ID]]="","",SUMIFS(tblSales[實收金額],tblSales[客戶ID],tblCRM[[#This Row],[客戶ID]]))</f>
        <v/>
      </c>
    </row>
    <row r="200" spans="24:24" ht="19.95" customHeight="1">
      <c r="X200" s="6" t="str">
        <f>IF(tblCRM[[#This Row],[客戶ID]]="","",SUMIFS(tblSales[實收金額],tblSales[客戶ID],tblCRM[[#This Row],[客戶ID]]))</f>
        <v/>
      </c>
    </row>
    <row r="201" spans="24:24" ht="19.95" customHeight="1">
      <c r="X201" s="6" t="str">
        <f>IF(tblCRM[[#This Row],[客戶ID]]="","",SUMIFS(tblSales[實收金額],tblSales[客戶ID],tblCRM[[#This Row],[客戶ID]]))</f>
        <v/>
      </c>
    </row>
    <row r="202" spans="24:24" ht="19.95" customHeight="1">
      <c r="X202" s="6" t="str">
        <f>IF(tblCRM[[#This Row],[客戶ID]]="","",SUMIFS(tblSales[實收金額],tblSales[客戶ID],tblCRM[[#This Row],[客戶ID]]))</f>
        <v/>
      </c>
    </row>
    <row r="203" spans="24:24" ht="19.95" customHeight="1">
      <c r="X203" s="6" t="str">
        <f>IF(tblCRM[[#This Row],[客戶ID]]="","",SUMIFS(tblSales[實收金額],tblSales[客戶ID],tblCRM[[#This Row],[客戶ID]]))</f>
        <v/>
      </c>
    </row>
    <row r="204" spans="24:24" ht="19.95" customHeight="1">
      <c r="X204" s="6" t="str">
        <f>IF(tblCRM[[#This Row],[客戶ID]]="","",SUMIFS(tblSales[實收金額],tblSales[客戶ID],tblCRM[[#This Row],[客戶ID]]))</f>
        <v/>
      </c>
    </row>
    <row r="205" spans="24:24" ht="19.95" customHeight="1">
      <c r="X205" s="6" t="str">
        <f>IF(tblCRM[[#This Row],[客戶ID]]="","",SUMIFS(tblSales[實收金額],tblSales[客戶ID],tblCRM[[#This Row],[客戶ID]]))</f>
        <v/>
      </c>
    </row>
    <row r="206" spans="24:24" ht="19.95" customHeight="1">
      <c r="X206" s="6" t="str">
        <f>IF(tblCRM[[#This Row],[客戶ID]]="","",SUMIFS(tblSales[實收金額],tblSales[客戶ID],tblCRM[[#This Row],[客戶ID]]))</f>
        <v/>
      </c>
    </row>
    <row r="207" spans="24:24" ht="19.95" customHeight="1">
      <c r="X207" s="6" t="str">
        <f>IF(tblCRM[[#This Row],[客戶ID]]="","",SUMIFS(tblSales[實收金額],tblSales[客戶ID],tblCRM[[#This Row],[客戶ID]]))</f>
        <v/>
      </c>
    </row>
    <row r="208" spans="24:24" ht="19.95" customHeight="1">
      <c r="X208" s="6" t="str">
        <f>IF(tblCRM[[#This Row],[客戶ID]]="","",SUMIFS(tblSales[實收金額],tblSales[客戶ID],tblCRM[[#This Row],[客戶ID]]))</f>
        <v/>
      </c>
    </row>
    <row r="209" spans="24:24" ht="19.95" customHeight="1">
      <c r="X209" s="6" t="str">
        <f>IF(tblCRM[[#This Row],[客戶ID]]="","",SUMIFS(tblSales[實收金額],tblSales[客戶ID],tblCRM[[#This Row],[客戶ID]]))</f>
        <v/>
      </c>
    </row>
    <row r="210" spans="24:24" ht="19.95" customHeight="1">
      <c r="X210" s="6" t="str">
        <f>IF(tblCRM[[#This Row],[客戶ID]]="","",SUMIFS(tblSales[實收金額],tblSales[客戶ID],tblCRM[[#This Row],[客戶ID]]))</f>
        <v/>
      </c>
    </row>
    <row r="211" spans="24:24" ht="19.95" customHeight="1">
      <c r="X211" s="6" t="str">
        <f>IF(tblCRM[[#This Row],[客戶ID]]="","",SUMIFS(tblSales[實收金額],tblSales[客戶ID],tblCRM[[#This Row],[客戶ID]]))</f>
        <v/>
      </c>
    </row>
    <row r="212" spans="24:24" ht="19.95" customHeight="1">
      <c r="X212" s="6" t="str">
        <f>IF(tblCRM[[#This Row],[客戶ID]]="","",SUMIFS(tblSales[實收金額],tblSales[客戶ID],tblCRM[[#This Row],[客戶ID]]))</f>
        <v/>
      </c>
    </row>
    <row r="213" spans="24:24" ht="19.95" customHeight="1">
      <c r="X213" s="6" t="str">
        <f>IF(tblCRM[[#This Row],[客戶ID]]="","",SUMIFS(tblSales[實收金額],tblSales[客戶ID],tblCRM[[#This Row],[客戶ID]]))</f>
        <v/>
      </c>
    </row>
    <row r="214" spans="24:24" ht="19.95" customHeight="1">
      <c r="X214" s="6" t="str">
        <f>IF(tblCRM[[#This Row],[客戶ID]]="","",SUMIFS(tblSales[實收金額],tblSales[客戶ID],tblCRM[[#This Row],[客戶ID]]))</f>
        <v/>
      </c>
    </row>
    <row r="215" spans="24:24" ht="19.95" customHeight="1">
      <c r="X215" s="6" t="str">
        <f>IF(tblCRM[[#This Row],[客戶ID]]="","",SUMIFS(tblSales[實收金額],tblSales[客戶ID],tblCRM[[#This Row],[客戶ID]]))</f>
        <v/>
      </c>
    </row>
    <row r="216" spans="24:24" ht="19.95" customHeight="1">
      <c r="X216" s="6" t="str">
        <f>IF(tblCRM[[#This Row],[客戶ID]]="","",SUMIFS(tblSales[實收金額],tblSales[客戶ID],tblCRM[[#This Row],[客戶ID]]))</f>
        <v/>
      </c>
    </row>
    <row r="217" spans="24:24" ht="19.95" customHeight="1">
      <c r="X217" s="6" t="str">
        <f>IF(tblCRM[[#This Row],[客戶ID]]="","",SUMIFS(tblSales[實收金額],tblSales[客戶ID],tblCRM[[#This Row],[客戶ID]]))</f>
        <v/>
      </c>
    </row>
    <row r="218" spans="24:24" ht="19.95" customHeight="1">
      <c r="X218" s="6" t="str">
        <f>IF(tblCRM[[#This Row],[客戶ID]]="","",SUMIFS(tblSales[實收金額],tblSales[客戶ID],tblCRM[[#This Row],[客戶ID]]))</f>
        <v/>
      </c>
    </row>
    <row r="219" spans="24:24" ht="19.95" customHeight="1">
      <c r="X219" s="6" t="str">
        <f>IF(tblCRM[[#This Row],[客戶ID]]="","",SUMIFS(tblSales[實收金額],tblSales[客戶ID],tblCRM[[#This Row],[客戶ID]]))</f>
        <v/>
      </c>
    </row>
    <row r="220" spans="24:24" ht="19.95" customHeight="1">
      <c r="X220" s="6" t="str">
        <f>IF(tblCRM[[#This Row],[客戶ID]]="","",SUMIFS(tblSales[實收金額],tblSales[客戶ID],tblCRM[[#This Row],[客戶ID]]))</f>
        <v/>
      </c>
    </row>
    <row r="221" spans="24:24" ht="19.95" customHeight="1">
      <c r="X221" s="6" t="str">
        <f>IF(tblCRM[[#This Row],[客戶ID]]="","",SUMIFS(tblSales[實收金額],tblSales[客戶ID],tblCRM[[#This Row],[客戶ID]]))</f>
        <v/>
      </c>
    </row>
    <row r="222" spans="24:24" ht="19.95" customHeight="1">
      <c r="X222" s="6" t="str">
        <f>IF(tblCRM[[#This Row],[客戶ID]]="","",SUMIFS(tblSales[實收金額],tblSales[客戶ID],tblCRM[[#This Row],[客戶ID]]))</f>
        <v/>
      </c>
    </row>
    <row r="223" spans="24:24" ht="19.95" customHeight="1">
      <c r="X223" s="6" t="str">
        <f>IF(tblCRM[[#This Row],[客戶ID]]="","",SUMIFS(tblSales[實收金額],tblSales[客戶ID],tblCRM[[#This Row],[客戶ID]]))</f>
        <v/>
      </c>
    </row>
    <row r="224" spans="24:24" ht="19.95" customHeight="1">
      <c r="X224" s="6" t="str">
        <f>IF(tblCRM[[#This Row],[客戶ID]]="","",SUMIFS(tblSales[實收金額],tblSales[客戶ID],tblCRM[[#This Row],[客戶ID]]))</f>
        <v/>
      </c>
    </row>
    <row r="225" spans="24:24" ht="19.95" customHeight="1">
      <c r="X225" s="6" t="str">
        <f>IF(tblCRM[[#This Row],[客戶ID]]="","",SUMIFS(tblSales[實收金額],tblSales[客戶ID],tblCRM[[#This Row],[客戶ID]]))</f>
        <v/>
      </c>
    </row>
    <row r="226" spans="24:24" ht="19.95" customHeight="1">
      <c r="X226" s="6" t="str">
        <f>IF(tblCRM[[#This Row],[客戶ID]]="","",SUMIFS(tblSales[實收金額],tblSales[客戶ID],tblCRM[[#This Row],[客戶ID]]))</f>
        <v/>
      </c>
    </row>
    <row r="227" spans="24:24" ht="19.95" customHeight="1">
      <c r="X227" s="6" t="str">
        <f>IF(tblCRM[[#This Row],[客戶ID]]="","",SUMIFS(tblSales[實收金額],tblSales[客戶ID],tblCRM[[#This Row],[客戶ID]]))</f>
        <v/>
      </c>
    </row>
    <row r="228" spans="24:24" ht="19.95" customHeight="1">
      <c r="X228" s="6" t="str">
        <f>IF(tblCRM[[#This Row],[客戶ID]]="","",SUMIFS(tblSales[實收金額],tblSales[客戶ID],tblCRM[[#This Row],[客戶ID]]))</f>
        <v/>
      </c>
    </row>
    <row r="229" spans="24:24" ht="19.95" customHeight="1">
      <c r="X229" s="6" t="str">
        <f>IF(tblCRM[[#This Row],[客戶ID]]="","",SUMIFS(tblSales[實收金額],tblSales[客戶ID],tblCRM[[#This Row],[客戶ID]]))</f>
        <v/>
      </c>
    </row>
    <row r="230" spans="24:24" ht="19.95" customHeight="1">
      <c r="X230" s="6" t="str">
        <f>IF(tblCRM[[#This Row],[客戶ID]]="","",SUMIFS(tblSales[實收金額],tblSales[客戶ID],tblCRM[[#This Row],[客戶ID]]))</f>
        <v/>
      </c>
    </row>
    <row r="231" spans="24:24" ht="19.95" customHeight="1">
      <c r="X231" s="6" t="str">
        <f>IF(tblCRM[[#This Row],[客戶ID]]="","",SUMIFS(tblSales[實收金額],tblSales[客戶ID],tblCRM[[#This Row],[客戶ID]]))</f>
        <v/>
      </c>
    </row>
    <row r="232" spans="24:24" ht="19.95" customHeight="1">
      <c r="X232" s="6" t="str">
        <f>IF(tblCRM[[#This Row],[客戶ID]]="","",SUMIFS(tblSales[實收金額],tblSales[客戶ID],tblCRM[[#This Row],[客戶ID]]))</f>
        <v/>
      </c>
    </row>
    <row r="233" spans="24:24" ht="19.95" customHeight="1">
      <c r="X233" s="6" t="str">
        <f>IF(tblCRM[[#This Row],[客戶ID]]="","",SUMIFS(tblSales[實收金額],tblSales[客戶ID],tblCRM[[#This Row],[客戶ID]]))</f>
        <v/>
      </c>
    </row>
    <row r="234" spans="24:24" ht="19.95" customHeight="1">
      <c r="X234" s="6" t="str">
        <f>IF(tblCRM[[#This Row],[客戶ID]]="","",SUMIFS(tblSales[實收金額],tblSales[客戶ID],tblCRM[[#This Row],[客戶ID]]))</f>
        <v/>
      </c>
    </row>
    <row r="235" spans="24:24" ht="19.95" customHeight="1">
      <c r="X235" s="6" t="str">
        <f>IF(tblCRM[[#This Row],[客戶ID]]="","",SUMIFS(tblSales[實收金額],tblSales[客戶ID],tblCRM[[#This Row],[客戶ID]]))</f>
        <v/>
      </c>
    </row>
    <row r="236" spans="24:24" ht="19.95" customHeight="1">
      <c r="X236" s="6" t="str">
        <f>IF(tblCRM[[#This Row],[客戶ID]]="","",SUMIFS(tblSales[實收金額],tblSales[客戶ID],tblCRM[[#This Row],[客戶ID]]))</f>
        <v/>
      </c>
    </row>
    <row r="237" spans="24:24" ht="19.95" customHeight="1">
      <c r="X237" s="6" t="str">
        <f>IF(tblCRM[[#This Row],[客戶ID]]="","",SUMIFS(tblSales[實收金額],tblSales[客戶ID],tblCRM[[#This Row],[客戶ID]]))</f>
        <v/>
      </c>
    </row>
    <row r="238" spans="24:24" ht="19.95" customHeight="1">
      <c r="X238" s="6" t="str">
        <f>IF(tblCRM[[#This Row],[客戶ID]]="","",SUMIFS(tblSales[實收金額],tblSales[客戶ID],tblCRM[[#This Row],[客戶ID]]))</f>
        <v/>
      </c>
    </row>
    <row r="239" spans="24:24" ht="19.95" customHeight="1">
      <c r="X239" s="6" t="str">
        <f>IF(tblCRM[[#This Row],[客戶ID]]="","",SUMIFS(tblSales[實收金額],tblSales[客戶ID],tblCRM[[#This Row],[客戶ID]]))</f>
        <v/>
      </c>
    </row>
    <row r="240" spans="24:24" ht="19.95" customHeight="1">
      <c r="X240" s="6" t="str">
        <f>IF(tblCRM[[#This Row],[客戶ID]]="","",SUMIFS(tblSales[實收金額],tblSales[客戶ID],tblCRM[[#This Row],[客戶ID]]))</f>
        <v/>
      </c>
    </row>
    <row r="241" spans="24:24" ht="19.95" customHeight="1">
      <c r="X241" s="6" t="str">
        <f>IF(tblCRM[[#This Row],[客戶ID]]="","",SUMIFS(tblSales[實收金額],tblSales[客戶ID],tblCRM[[#This Row],[客戶ID]]))</f>
        <v/>
      </c>
    </row>
    <row r="242" spans="24:24" ht="19.95" customHeight="1">
      <c r="X242" s="6" t="str">
        <f>IF(tblCRM[[#This Row],[客戶ID]]="","",SUMIFS(tblSales[實收金額],tblSales[客戶ID],tblCRM[[#This Row],[客戶ID]]))</f>
        <v/>
      </c>
    </row>
    <row r="243" spans="24:24" ht="19.95" customHeight="1">
      <c r="X243" s="6" t="str">
        <f>IF(tblCRM[[#This Row],[客戶ID]]="","",SUMIFS(tblSales[實收金額],tblSales[客戶ID],tblCRM[[#This Row],[客戶ID]]))</f>
        <v/>
      </c>
    </row>
    <row r="244" spans="24:24" ht="19.95" customHeight="1">
      <c r="X244" s="6" t="str">
        <f>IF(tblCRM[[#This Row],[客戶ID]]="","",SUMIFS(tblSales[實收金額],tblSales[客戶ID],tblCRM[[#This Row],[客戶ID]]))</f>
        <v/>
      </c>
    </row>
    <row r="245" spans="24:24" ht="19.95" customHeight="1">
      <c r="X245" s="6" t="str">
        <f>IF(tblCRM[[#This Row],[客戶ID]]="","",SUMIFS(tblSales[實收金額],tblSales[客戶ID],tblCRM[[#This Row],[客戶ID]]))</f>
        <v/>
      </c>
    </row>
    <row r="246" spans="24:24" ht="19.95" customHeight="1">
      <c r="X246" s="6" t="str">
        <f>IF(tblCRM[[#This Row],[客戶ID]]="","",SUMIFS(tblSales[實收金額],tblSales[客戶ID],tblCRM[[#This Row],[客戶ID]]))</f>
        <v/>
      </c>
    </row>
    <row r="247" spans="24:24" ht="19.95" customHeight="1">
      <c r="X247" s="6" t="str">
        <f>IF(tblCRM[[#This Row],[客戶ID]]="","",SUMIFS(tblSales[實收金額],tblSales[客戶ID],tblCRM[[#This Row],[客戶ID]]))</f>
        <v/>
      </c>
    </row>
    <row r="248" spans="24:24" ht="19.95" customHeight="1">
      <c r="X248" s="6" t="str">
        <f>IF(tblCRM[[#This Row],[客戶ID]]="","",SUMIFS(tblSales[實收金額],tblSales[客戶ID],tblCRM[[#This Row],[客戶ID]]))</f>
        <v/>
      </c>
    </row>
    <row r="249" spans="24:24" ht="19.95" customHeight="1">
      <c r="X249" s="6" t="str">
        <f>IF(tblCRM[[#This Row],[客戶ID]]="","",SUMIFS(tblSales[實收金額],tblSales[客戶ID],tblCRM[[#This Row],[客戶ID]]))</f>
        <v/>
      </c>
    </row>
    <row r="250" spans="24:24" ht="19.95" customHeight="1">
      <c r="X250" s="6" t="str">
        <f>IF(tblCRM[[#This Row],[客戶ID]]="","",SUMIFS(tblSales[實收金額],tblSales[客戶ID],tblCRM[[#This Row],[客戶ID]]))</f>
        <v/>
      </c>
    </row>
    <row r="251" spans="24:24" ht="19.95" customHeight="1">
      <c r="X251" s="6" t="str">
        <f>IF(tblCRM[[#This Row],[客戶ID]]="","",SUMIFS(tblSales[實收金額],tblSales[客戶ID],tblCRM[[#This Row],[客戶ID]]))</f>
        <v/>
      </c>
    </row>
    <row r="252" spans="24:24" ht="19.95" customHeight="1">
      <c r="X252" s="6" t="str">
        <f>IF(tblCRM[[#This Row],[客戶ID]]="","",SUMIFS(tblSales[實收金額],tblSales[客戶ID],tblCRM[[#This Row],[客戶ID]]))</f>
        <v/>
      </c>
    </row>
    <row r="253" spans="24:24" ht="19.95" customHeight="1">
      <c r="X253" s="6" t="str">
        <f>IF(tblCRM[[#This Row],[客戶ID]]="","",SUMIFS(tblSales[實收金額],tblSales[客戶ID],tblCRM[[#This Row],[客戶ID]]))</f>
        <v/>
      </c>
    </row>
    <row r="254" spans="24:24" ht="19.95" customHeight="1">
      <c r="X254" s="6" t="str">
        <f>IF(tblCRM[[#This Row],[客戶ID]]="","",SUMIFS(tblSales[實收金額],tblSales[客戶ID],tblCRM[[#This Row],[客戶ID]]))</f>
        <v/>
      </c>
    </row>
    <row r="255" spans="24:24" ht="19.95" customHeight="1">
      <c r="X255" s="6" t="str">
        <f>IF(tblCRM[[#This Row],[客戶ID]]="","",SUMIFS(tblSales[實收金額],tblSales[客戶ID],tblCRM[[#This Row],[客戶ID]]))</f>
        <v/>
      </c>
    </row>
    <row r="256" spans="24:24" ht="19.95" customHeight="1">
      <c r="X256" s="6" t="str">
        <f>IF(tblCRM[[#This Row],[客戶ID]]="","",SUMIFS(tblSales[實收金額],tblSales[客戶ID],tblCRM[[#This Row],[客戶ID]]))</f>
        <v/>
      </c>
    </row>
    <row r="257" spans="24:24" ht="19.95" customHeight="1">
      <c r="X257" s="6" t="str">
        <f>IF(tblCRM[[#This Row],[客戶ID]]="","",SUMIFS(tblSales[實收金額],tblSales[客戶ID],tblCRM[[#This Row],[客戶ID]]))</f>
        <v/>
      </c>
    </row>
    <row r="258" spans="24:24" ht="19.95" customHeight="1">
      <c r="X258" s="6" t="str">
        <f>IF(tblCRM[[#This Row],[客戶ID]]="","",SUMIFS(tblSales[實收金額],tblSales[客戶ID],tblCRM[[#This Row],[客戶ID]]))</f>
        <v/>
      </c>
    </row>
    <row r="259" spans="24:24" ht="19.95" customHeight="1">
      <c r="X259" s="6" t="str">
        <f>IF(tblCRM[[#This Row],[客戶ID]]="","",SUMIFS(tblSales[實收金額],tblSales[客戶ID],tblCRM[[#This Row],[客戶ID]]))</f>
        <v/>
      </c>
    </row>
    <row r="260" spans="24:24" ht="19.95" customHeight="1">
      <c r="X260" s="6" t="str">
        <f>IF(tblCRM[[#This Row],[客戶ID]]="","",SUMIFS(tblSales[實收金額],tblSales[客戶ID],tblCRM[[#This Row],[客戶ID]]))</f>
        <v/>
      </c>
    </row>
    <row r="261" spans="24:24" ht="19.95" customHeight="1">
      <c r="X261" s="6" t="str">
        <f>IF(tblCRM[[#This Row],[客戶ID]]="","",SUMIFS(tblSales[實收金額],tblSales[客戶ID],tblCRM[[#This Row],[客戶ID]]))</f>
        <v/>
      </c>
    </row>
    <row r="262" spans="24:24" ht="19.95" customHeight="1">
      <c r="X262" s="6" t="str">
        <f>IF(tblCRM[[#This Row],[客戶ID]]="","",SUMIFS(tblSales[實收金額],tblSales[客戶ID],tblCRM[[#This Row],[客戶ID]]))</f>
        <v/>
      </c>
    </row>
    <row r="263" spans="24:24" ht="19.95" customHeight="1">
      <c r="X263" s="6" t="str">
        <f>IF(tblCRM[[#This Row],[客戶ID]]="","",SUMIFS(tblSales[實收金額],tblSales[客戶ID],tblCRM[[#This Row],[客戶ID]]))</f>
        <v/>
      </c>
    </row>
    <row r="264" spans="24:24" ht="19.95" customHeight="1">
      <c r="X264" s="6" t="str">
        <f>IF(tblCRM[[#This Row],[客戶ID]]="","",SUMIFS(tblSales[實收金額],tblSales[客戶ID],tblCRM[[#This Row],[客戶ID]]))</f>
        <v/>
      </c>
    </row>
    <row r="265" spans="24:24" ht="19.95" customHeight="1">
      <c r="X265" s="6" t="str">
        <f>IF(tblCRM[[#This Row],[客戶ID]]="","",SUMIFS(tblSales[實收金額],tblSales[客戶ID],tblCRM[[#This Row],[客戶ID]]))</f>
        <v/>
      </c>
    </row>
    <row r="266" spans="24:24" ht="19.95" customHeight="1">
      <c r="X266" s="6" t="str">
        <f>IF(tblCRM[[#This Row],[客戶ID]]="","",SUMIFS(tblSales[實收金額],tblSales[客戶ID],tblCRM[[#This Row],[客戶ID]]))</f>
        <v/>
      </c>
    </row>
    <row r="267" spans="24:24" ht="19.95" customHeight="1">
      <c r="X267" s="6" t="str">
        <f>IF(tblCRM[[#This Row],[客戶ID]]="","",SUMIFS(tblSales[實收金額],tblSales[客戶ID],tblCRM[[#This Row],[客戶ID]]))</f>
        <v/>
      </c>
    </row>
    <row r="268" spans="24:24" ht="19.95" customHeight="1">
      <c r="X268" s="6" t="str">
        <f>IF(tblCRM[[#This Row],[客戶ID]]="","",SUMIFS(tblSales[實收金額],tblSales[客戶ID],tblCRM[[#This Row],[客戶ID]]))</f>
        <v/>
      </c>
    </row>
    <row r="269" spans="24:24" ht="19.95" customHeight="1">
      <c r="X269" s="6" t="str">
        <f>IF(tblCRM[[#This Row],[客戶ID]]="","",SUMIFS(tblSales[實收金額],tblSales[客戶ID],tblCRM[[#This Row],[客戶ID]]))</f>
        <v/>
      </c>
    </row>
    <row r="270" spans="24:24" ht="19.95" customHeight="1">
      <c r="X270" s="6" t="str">
        <f>IF(tblCRM[[#This Row],[客戶ID]]="","",SUMIFS(tblSales[實收金額],tblSales[客戶ID],tblCRM[[#This Row],[客戶ID]]))</f>
        <v/>
      </c>
    </row>
    <row r="271" spans="24:24" ht="19.95" customHeight="1">
      <c r="X271" s="6" t="str">
        <f>IF(tblCRM[[#This Row],[客戶ID]]="","",SUMIFS(tblSales[實收金額],tblSales[客戶ID],tblCRM[[#This Row],[客戶ID]]))</f>
        <v/>
      </c>
    </row>
    <row r="272" spans="24:24" ht="19.95" customHeight="1">
      <c r="X272" s="6" t="str">
        <f>IF(tblCRM[[#This Row],[客戶ID]]="","",SUMIFS(tblSales[實收金額],tblSales[客戶ID],tblCRM[[#This Row],[客戶ID]]))</f>
        <v/>
      </c>
    </row>
    <row r="273" spans="24:24" ht="19.95" customHeight="1">
      <c r="X273" s="6" t="str">
        <f>IF(tblCRM[[#This Row],[客戶ID]]="","",SUMIFS(tblSales[實收金額],tblSales[客戶ID],tblCRM[[#This Row],[客戶ID]]))</f>
        <v/>
      </c>
    </row>
    <row r="274" spans="24:24" ht="19.95" customHeight="1">
      <c r="X274" s="6" t="str">
        <f>IF(tblCRM[[#This Row],[客戶ID]]="","",SUMIFS(tblSales[實收金額],tblSales[客戶ID],tblCRM[[#This Row],[客戶ID]]))</f>
        <v/>
      </c>
    </row>
    <row r="275" spans="24:24" ht="19.95" customHeight="1">
      <c r="X275" s="6" t="str">
        <f>IF(tblCRM[[#This Row],[客戶ID]]="","",SUMIFS(tblSales[實收金額],tblSales[客戶ID],tblCRM[[#This Row],[客戶ID]]))</f>
        <v/>
      </c>
    </row>
    <row r="276" spans="24:24" ht="19.95" customHeight="1">
      <c r="X276" s="6" t="str">
        <f>IF(tblCRM[[#This Row],[客戶ID]]="","",SUMIFS(tblSales[實收金額],tblSales[客戶ID],tblCRM[[#This Row],[客戶ID]]))</f>
        <v/>
      </c>
    </row>
    <row r="277" spans="24:24" ht="19.95" customHeight="1">
      <c r="X277" s="6" t="str">
        <f>IF(tblCRM[[#This Row],[客戶ID]]="","",SUMIFS(tblSales[實收金額],tblSales[客戶ID],tblCRM[[#This Row],[客戶ID]]))</f>
        <v/>
      </c>
    </row>
    <row r="278" spans="24:24" ht="19.95" customHeight="1">
      <c r="X278" s="6" t="str">
        <f>IF(tblCRM[[#This Row],[客戶ID]]="","",SUMIFS(tblSales[實收金額],tblSales[客戶ID],tblCRM[[#This Row],[客戶ID]]))</f>
        <v/>
      </c>
    </row>
    <row r="279" spans="24:24" ht="19.95" customHeight="1">
      <c r="X279" s="6" t="str">
        <f>IF(tblCRM[[#This Row],[客戶ID]]="","",SUMIFS(tblSales[實收金額],tblSales[客戶ID],tblCRM[[#This Row],[客戶ID]]))</f>
        <v/>
      </c>
    </row>
    <row r="280" spans="24:24" ht="19.95" customHeight="1">
      <c r="X280" s="6" t="str">
        <f>IF(tblCRM[[#This Row],[客戶ID]]="","",SUMIFS(tblSales[實收金額],tblSales[客戶ID],tblCRM[[#This Row],[客戶ID]]))</f>
        <v/>
      </c>
    </row>
    <row r="281" spans="24:24" ht="19.95" customHeight="1">
      <c r="X281" s="6" t="str">
        <f>IF(tblCRM[[#This Row],[客戶ID]]="","",SUMIFS(tblSales[實收金額],tblSales[客戶ID],tblCRM[[#This Row],[客戶ID]]))</f>
        <v/>
      </c>
    </row>
    <row r="282" spans="24:24" ht="19.95" customHeight="1">
      <c r="X282" s="6" t="str">
        <f>IF(tblCRM[[#This Row],[客戶ID]]="","",SUMIFS(tblSales[實收金額],tblSales[客戶ID],tblCRM[[#This Row],[客戶ID]]))</f>
        <v/>
      </c>
    </row>
    <row r="283" spans="24:24" ht="19.95" customHeight="1">
      <c r="X283" s="6" t="str">
        <f>IF(tblCRM[[#This Row],[客戶ID]]="","",SUMIFS(tblSales[實收金額],tblSales[客戶ID],tblCRM[[#This Row],[客戶ID]]))</f>
        <v/>
      </c>
    </row>
    <row r="284" spans="24:24" ht="19.95" customHeight="1">
      <c r="X284" s="6" t="str">
        <f>IF(tblCRM[[#This Row],[客戶ID]]="","",SUMIFS(tblSales[實收金額],tblSales[客戶ID],tblCRM[[#This Row],[客戶ID]]))</f>
        <v/>
      </c>
    </row>
    <row r="285" spans="24:24" ht="19.95" customHeight="1">
      <c r="X285" s="6" t="str">
        <f>IF(tblCRM[[#This Row],[客戶ID]]="","",SUMIFS(tblSales[實收金額],tblSales[客戶ID],tblCRM[[#This Row],[客戶ID]]))</f>
        <v/>
      </c>
    </row>
    <row r="286" spans="24:24" ht="19.95" customHeight="1">
      <c r="X286" s="6" t="str">
        <f>IF(tblCRM[[#This Row],[客戶ID]]="","",SUMIFS(tblSales[實收金額],tblSales[客戶ID],tblCRM[[#This Row],[客戶ID]]))</f>
        <v/>
      </c>
    </row>
    <row r="287" spans="24:24" ht="19.95" customHeight="1">
      <c r="X287" s="6" t="str">
        <f>IF(tblCRM[[#This Row],[客戶ID]]="","",SUMIFS(tblSales[實收金額],tblSales[客戶ID],tblCRM[[#This Row],[客戶ID]]))</f>
        <v/>
      </c>
    </row>
    <row r="288" spans="24:24" ht="19.95" customHeight="1">
      <c r="X288" s="6" t="str">
        <f>IF(tblCRM[[#This Row],[客戶ID]]="","",SUMIFS(tblSales[實收金額],tblSales[客戶ID],tblCRM[[#This Row],[客戶ID]]))</f>
        <v/>
      </c>
    </row>
    <row r="289" spans="24:24" ht="19.95" customHeight="1">
      <c r="X289" s="6" t="str">
        <f>IF(tblCRM[[#This Row],[客戶ID]]="","",SUMIFS(tblSales[實收金額],tblSales[客戶ID],tblCRM[[#This Row],[客戶ID]]))</f>
        <v/>
      </c>
    </row>
    <row r="290" spans="24:24" ht="19.95" customHeight="1">
      <c r="X290" s="6" t="str">
        <f>IF(tblCRM[[#This Row],[客戶ID]]="","",SUMIFS(tblSales[實收金額],tblSales[客戶ID],tblCRM[[#This Row],[客戶ID]]))</f>
        <v/>
      </c>
    </row>
    <row r="291" spans="24:24" ht="19.95" customHeight="1">
      <c r="X291" s="6" t="str">
        <f>IF(tblCRM[[#This Row],[客戶ID]]="","",SUMIFS(tblSales[實收金額],tblSales[客戶ID],tblCRM[[#This Row],[客戶ID]]))</f>
        <v/>
      </c>
    </row>
    <row r="292" spans="24:24" ht="19.95" customHeight="1">
      <c r="X292" s="6" t="str">
        <f>IF(tblCRM[[#This Row],[客戶ID]]="","",SUMIFS(tblSales[實收金額],tblSales[客戶ID],tblCRM[[#This Row],[客戶ID]]))</f>
        <v/>
      </c>
    </row>
    <row r="293" spans="24:24" ht="19.95" customHeight="1">
      <c r="X293" s="6" t="str">
        <f>IF(tblCRM[[#This Row],[客戶ID]]="","",SUMIFS(tblSales[實收金額],tblSales[客戶ID],tblCRM[[#This Row],[客戶ID]]))</f>
        <v/>
      </c>
    </row>
    <row r="294" spans="24:24" ht="19.95" customHeight="1">
      <c r="X294" s="6" t="str">
        <f>IF(tblCRM[[#This Row],[客戶ID]]="","",SUMIFS(tblSales[實收金額],tblSales[客戶ID],tblCRM[[#This Row],[客戶ID]]))</f>
        <v/>
      </c>
    </row>
    <row r="295" spans="24:24" ht="19.95" customHeight="1">
      <c r="X295" s="6" t="str">
        <f>IF(tblCRM[[#This Row],[客戶ID]]="","",SUMIFS(tblSales[實收金額],tblSales[客戶ID],tblCRM[[#This Row],[客戶ID]]))</f>
        <v/>
      </c>
    </row>
    <row r="296" spans="24:24" ht="19.95" customHeight="1">
      <c r="X296" s="6" t="str">
        <f>IF(tblCRM[[#This Row],[客戶ID]]="","",SUMIFS(tblSales[實收金額],tblSales[客戶ID],tblCRM[[#This Row],[客戶ID]]))</f>
        <v/>
      </c>
    </row>
    <row r="297" spans="24:24" ht="19.95" customHeight="1">
      <c r="X297" s="6" t="str">
        <f>IF(tblCRM[[#This Row],[客戶ID]]="","",SUMIFS(tblSales[實收金額],tblSales[客戶ID],tblCRM[[#This Row],[客戶ID]]))</f>
        <v/>
      </c>
    </row>
    <row r="298" spans="24:24" ht="19.95" customHeight="1">
      <c r="X298" s="6" t="str">
        <f>IF(tblCRM[[#This Row],[客戶ID]]="","",SUMIFS(tblSales[實收金額],tblSales[客戶ID],tblCRM[[#This Row],[客戶ID]]))</f>
        <v/>
      </c>
    </row>
    <row r="299" spans="24:24" ht="19.95" customHeight="1">
      <c r="X299" s="6" t="str">
        <f>IF(tblCRM[[#This Row],[客戶ID]]="","",SUMIFS(tblSales[實收金額],tblSales[客戶ID],tblCRM[[#This Row],[客戶ID]]))</f>
        <v/>
      </c>
    </row>
    <row r="300" spans="24:24" ht="19.95" customHeight="1">
      <c r="X300" s="6" t="str">
        <f>IF(tblCRM[[#This Row],[客戶ID]]="","",SUMIFS(tblSales[實收金額],tblSales[客戶ID],tblCRM[[#This Row],[客戶ID]]))</f>
        <v/>
      </c>
    </row>
    <row r="301" spans="24:24" ht="19.95" customHeight="1">
      <c r="X301" s="6" t="str">
        <f>IF(tblCRM[[#This Row],[客戶ID]]="","",SUMIFS(tblSales[實收金額],tblSales[客戶ID],tblCRM[[#This Row],[客戶ID]]))</f>
        <v/>
      </c>
    </row>
    <row r="302" spans="24:24" ht="19.95" customHeight="1">
      <c r="X302" s="6" t="str">
        <f>IF(tblCRM[[#This Row],[客戶ID]]="","",SUMIFS(tblSales[實收金額],tblSales[客戶ID],tblCRM[[#This Row],[客戶ID]]))</f>
        <v/>
      </c>
    </row>
    <row r="303" spans="24:24" ht="19.95" customHeight="1">
      <c r="X303" s="6" t="str">
        <f>IF(tblCRM[[#This Row],[客戶ID]]="","",SUMIFS(tblSales[實收金額],tblSales[客戶ID],tblCRM[[#This Row],[客戶ID]]))</f>
        <v/>
      </c>
    </row>
    <row r="304" spans="24:24" ht="19.95" customHeight="1">
      <c r="X304" s="6" t="str">
        <f>IF(tblCRM[[#This Row],[客戶ID]]="","",SUMIFS(tblSales[實收金額],tblSales[客戶ID],tblCRM[[#This Row],[客戶ID]]))</f>
        <v/>
      </c>
    </row>
  </sheetData>
  <mergeCells count="2">
    <mergeCell ref="A1:M1"/>
    <mergeCell ref="A2:M2"/>
  </mergeCells>
  <phoneticPr fontId="8" type="noConversion"/>
  <conditionalFormatting sqref="W5:W304">
    <cfRule type="expression" dxfId="6" priority="1">
      <formula>AND($W5&lt;TODAY(),$W5&lt;&gt;"")</formula>
    </cfRule>
  </conditionalFormatting>
  <dataValidations count="6">
    <dataValidation type="list" allowBlank="1" showInputMessage="1" showErrorMessage="1" sqref="C5:C304" xr:uid="{00000000-0002-0000-0800-000000000000}">
      <formula1>CUSTOMER_TYPE</formula1>
    </dataValidation>
    <dataValidation type="list" allowBlank="1" showInputMessage="1" showErrorMessage="1" sqref="D5:D304" xr:uid="{00000000-0002-0000-0800-000001000000}">
      <formula1>CRM_STATUS</formula1>
    </dataValidation>
    <dataValidation type="list" allowBlank="1" showInputMessage="1" showErrorMessage="1" sqref="N5:N304" xr:uid="{00000000-0002-0000-0800-000002000000}">
      <formula1>CHANNEL_LIST</formula1>
    </dataValidation>
    <dataValidation type="list" allowBlank="1" showInputMessage="1" showErrorMessage="1" sqref="Q5:Q304" xr:uid="{00000000-0002-0000-0800-000003000000}">
      <formula1>FIVE_DIM_LIST</formula1>
    </dataValidation>
    <dataValidation type="list" allowBlank="1" showInputMessage="1" showErrorMessage="1" sqref="Y5:Z304" xr:uid="{00000000-0002-0000-0800-000004000000}">
      <formula1>YES_NO_UNKNOWN</formula1>
    </dataValidation>
    <dataValidation type="list" allowBlank="1" showInputMessage="1" showErrorMessage="1" sqref="AA5:AA304" xr:uid="{00000000-0002-0000-0800-000005000000}">
      <formula1>OWNER_LIST</formula1>
    </dataValidation>
  </dataValidations>
  <pageMargins left="0.25" right="0.25" top="0.4" bottom="0.4" header="0.3" footer="0.3"/>
  <pageSetup fitToHeight="0" orientation="landscape"/>
  <headerFooter>
    <oddHeader>&amp;L希望之光 Hope Light&amp;C品牌營運管理系統&amp;R&amp;D</oddHeader>
    <oddFooter>&amp;L[Codex] 初版｜待確認資料不可直接對外&amp;R第 &amp;P / &amp;N 頁</oddFooter>
  </headerFooter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243B5A"/>
    <pageSetUpPr fitToPage="1"/>
  </sheetPr>
  <dimension ref="A1:Q304"/>
  <sheetViews>
    <sheetView showGridLines="0" workbookViewId="0">
      <pane ySplit="4" topLeftCell="A5" activePane="bottomLeft" state="frozen"/>
      <selection pane="bottomLeft"/>
    </sheetView>
  </sheetViews>
  <sheetFormatPr defaultRowHeight="19.95" customHeight="1"/>
  <cols>
    <col min="1" max="1" width="16.75" customWidth="1"/>
    <col min="2" max="2" width="13.75" style="8" customWidth="1"/>
    <col min="3" max="3" width="15.75" customWidth="1"/>
    <col min="4" max="5" width="18.75" customWidth="1"/>
    <col min="6" max="6" width="32.75" customWidth="1"/>
    <col min="7" max="7" width="30.75" customWidth="1"/>
    <col min="8" max="8" width="12.75" customWidth="1"/>
    <col min="9" max="9" width="45.75" customWidth="1"/>
    <col min="10" max="11" width="35.75" customWidth="1"/>
    <col min="12" max="12" width="18.75" customWidth="1"/>
    <col min="13" max="13" width="13.75" style="8" customWidth="1"/>
    <col min="14" max="14" width="45.75" customWidth="1"/>
    <col min="15" max="16" width="12.75" customWidth="1"/>
    <col min="17" max="17" width="40.75" customWidth="1"/>
  </cols>
  <sheetData>
    <row r="1" spans="1:17" ht="34.049999999999997" customHeight="1">
      <c r="A1" s="9" t="s">
        <v>746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2" spans="1:17" ht="31.05" customHeight="1">
      <c r="A2" s="10" t="s">
        <v>747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4" spans="1:17" ht="19.95" customHeight="1">
      <c r="A4" t="s">
        <v>748</v>
      </c>
      <c r="B4" s="8" t="s">
        <v>665</v>
      </c>
      <c r="C4" t="s">
        <v>690</v>
      </c>
      <c r="D4" t="s">
        <v>691</v>
      </c>
      <c r="E4" t="s">
        <v>749</v>
      </c>
      <c r="F4" t="s">
        <v>750</v>
      </c>
      <c r="G4" t="s">
        <v>751</v>
      </c>
      <c r="H4" t="s">
        <v>720</v>
      </c>
      <c r="I4" t="s">
        <v>752</v>
      </c>
      <c r="J4" t="s">
        <v>753</v>
      </c>
      <c r="K4" t="s">
        <v>754</v>
      </c>
      <c r="L4" t="s">
        <v>755</v>
      </c>
      <c r="M4" s="8" t="s">
        <v>756</v>
      </c>
      <c r="N4" t="s">
        <v>757</v>
      </c>
      <c r="O4" t="s">
        <v>758</v>
      </c>
      <c r="P4" t="s">
        <v>703</v>
      </c>
      <c r="Q4" t="s">
        <v>415</v>
      </c>
    </row>
    <row r="5" spans="1:17" ht="19.95" customHeight="1">
      <c r="D5" t="str">
        <f>IFERROR(INDEX(tblCRM[姓名／稱呼],MATCH(tblService[[#This Row],[客戶ID]],tblCRM[客戶ID],0)),"")</f>
        <v/>
      </c>
      <c r="F5" t="str">
        <f>IFERROR(INDEX(tblProducts[正式名稱],MATCH(tblService[[#This Row],[服務SKU]],tblProducts[SKU],0)),"")</f>
        <v/>
      </c>
    </row>
    <row r="6" spans="1:17" ht="19.95" customHeight="1">
      <c r="D6" t="str">
        <f>IFERROR(INDEX(tblCRM[姓名／稱呼],MATCH(tblService[[#This Row],[客戶ID]],tblCRM[客戶ID],0)),"")</f>
        <v/>
      </c>
      <c r="F6" t="str">
        <f>IFERROR(INDEX(tblProducts[正式名稱],MATCH(tblService[[#This Row],[服務SKU]],tblProducts[SKU],0)),"")</f>
        <v/>
      </c>
    </row>
    <row r="7" spans="1:17" ht="19.95" customHeight="1">
      <c r="D7" t="str">
        <f>IFERROR(INDEX(tblCRM[姓名／稱呼],MATCH(tblService[[#This Row],[客戶ID]],tblCRM[客戶ID],0)),"")</f>
        <v/>
      </c>
      <c r="F7" t="str">
        <f>IFERROR(INDEX(tblProducts[正式名稱],MATCH(tblService[[#This Row],[服務SKU]],tblProducts[SKU],0)),"")</f>
        <v/>
      </c>
    </row>
    <row r="8" spans="1:17" ht="19.95" customHeight="1">
      <c r="D8" t="str">
        <f>IFERROR(INDEX(tblCRM[姓名／稱呼],MATCH(tblService[[#This Row],[客戶ID]],tblCRM[客戶ID],0)),"")</f>
        <v/>
      </c>
      <c r="F8" t="str">
        <f>IFERROR(INDEX(tblProducts[正式名稱],MATCH(tblService[[#This Row],[服務SKU]],tblProducts[SKU],0)),"")</f>
        <v/>
      </c>
    </row>
    <row r="9" spans="1:17" ht="19.95" customHeight="1">
      <c r="D9" t="str">
        <f>IFERROR(INDEX(tblCRM[姓名／稱呼],MATCH(tblService[[#This Row],[客戶ID]],tblCRM[客戶ID],0)),"")</f>
        <v/>
      </c>
      <c r="F9" t="str">
        <f>IFERROR(INDEX(tblProducts[正式名稱],MATCH(tblService[[#This Row],[服務SKU]],tblProducts[SKU],0)),"")</f>
        <v/>
      </c>
    </row>
    <row r="10" spans="1:17" ht="19.95" customHeight="1">
      <c r="D10" t="str">
        <f>IFERROR(INDEX(tblCRM[姓名／稱呼],MATCH(tblService[[#This Row],[客戶ID]],tblCRM[客戶ID],0)),"")</f>
        <v/>
      </c>
      <c r="F10" t="str">
        <f>IFERROR(INDEX(tblProducts[正式名稱],MATCH(tblService[[#This Row],[服務SKU]],tblProducts[SKU],0)),"")</f>
        <v/>
      </c>
    </row>
    <row r="11" spans="1:17" ht="19.95" customHeight="1">
      <c r="D11" t="str">
        <f>IFERROR(INDEX(tblCRM[姓名／稱呼],MATCH(tblService[[#This Row],[客戶ID]],tblCRM[客戶ID],0)),"")</f>
        <v/>
      </c>
      <c r="F11" t="str">
        <f>IFERROR(INDEX(tblProducts[正式名稱],MATCH(tblService[[#This Row],[服務SKU]],tblProducts[SKU],0)),"")</f>
        <v/>
      </c>
    </row>
    <row r="12" spans="1:17" ht="19.95" customHeight="1">
      <c r="D12" t="str">
        <f>IFERROR(INDEX(tblCRM[姓名／稱呼],MATCH(tblService[[#This Row],[客戶ID]],tblCRM[客戶ID],0)),"")</f>
        <v/>
      </c>
      <c r="F12" t="str">
        <f>IFERROR(INDEX(tblProducts[正式名稱],MATCH(tblService[[#This Row],[服務SKU]],tblProducts[SKU],0)),"")</f>
        <v/>
      </c>
    </row>
    <row r="13" spans="1:17" ht="19.95" customHeight="1">
      <c r="D13" t="str">
        <f>IFERROR(INDEX(tblCRM[姓名／稱呼],MATCH(tblService[[#This Row],[客戶ID]],tblCRM[客戶ID],0)),"")</f>
        <v/>
      </c>
      <c r="F13" t="str">
        <f>IFERROR(INDEX(tblProducts[正式名稱],MATCH(tblService[[#This Row],[服務SKU]],tblProducts[SKU],0)),"")</f>
        <v/>
      </c>
    </row>
    <row r="14" spans="1:17" ht="19.95" customHeight="1">
      <c r="D14" t="str">
        <f>IFERROR(INDEX(tblCRM[姓名／稱呼],MATCH(tblService[[#This Row],[客戶ID]],tblCRM[客戶ID],0)),"")</f>
        <v/>
      </c>
      <c r="F14" t="str">
        <f>IFERROR(INDEX(tblProducts[正式名稱],MATCH(tblService[[#This Row],[服務SKU]],tblProducts[SKU],0)),"")</f>
        <v/>
      </c>
    </row>
    <row r="15" spans="1:17" ht="19.95" customHeight="1">
      <c r="D15" t="str">
        <f>IFERROR(INDEX(tblCRM[姓名／稱呼],MATCH(tblService[[#This Row],[客戶ID]],tblCRM[客戶ID],0)),"")</f>
        <v/>
      </c>
      <c r="F15" t="str">
        <f>IFERROR(INDEX(tblProducts[正式名稱],MATCH(tblService[[#This Row],[服務SKU]],tblProducts[SKU],0)),"")</f>
        <v/>
      </c>
    </row>
    <row r="16" spans="1:17" ht="19.95" customHeight="1">
      <c r="D16" t="str">
        <f>IFERROR(INDEX(tblCRM[姓名／稱呼],MATCH(tblService[[#This Row],[客戶ID]],tblCRM[客戶ID],0)),"")</f>
        <v/>
      </c>
      <c r="F16" t="str">
        <f>IFERROR(INDEX(tblProducts[正式名稱],MATCH(tblService[[#This Row],[服務SKU]],tblProducts[SKU],0)),"")</f>
        <v/>
      </c>
    </row>
    <row r="17" spans="4:6" ht="19.95" customHeight="1">
      <c r="D17" t="str">
        <f>IFERROR(INDEX(tblCRM[姓名／稱呼],MATCH(tblService[[#This Row],[客戶ID]],tblCRM[客戶ID],0)),"")</f>
        <v/>
      </c>
      <c r="F17" t="str">
        <f>IFERROR(INDEX(tblProducts[正式名稱],MATCH(tblService[[#This Row],[服務SKU]],tblProducts[SKU],0)),"")</f>
        <v/>
      </c>
    </row>
    <row r="18" spans="4:6" ht="19.95" customHeight="1">
      <c r="D18" t="str">
        <f>IFERROR(INDEX(tblCRM[姓名／稱呼],MATCH(tblService[[#This Row],[客戶ID]],tblCRM[客戶ID],0)),"")</f>
        <v/>
      </c>
      <c r="F18" t="str">
        <f>IFERROR(INDEX(tblProducts[正式名稱],MATCH(tblService[[#This Row],[服務SKU]],tblProducts[SKU],0)),"")</f>
        <v/>
      </c>
    </row>
    <row r="19" spans="4:6" ht="19.95" customHeight="1">
      <c r="D19" t="str">
        <f>IFERROR(INDEX(tblCRM[姓名／稱呼],MATCH(tblService[[#This Row],[客戶ID]],tblCRM[客戶ID],0)),"")</f>
        <v/>
      </c>
      <c r="F19" t="str">
        <f>IFERROR(INDEX(tblProducts[正式名稱],MATCH(tblService[[#This Row],[服務SKU]],tblProducts[SKU],0)),"")</f>
        <v/>
      </c>
    </row>
    <row r="20" spans="4:6" ht="19.95" customHeight="1">
      <c r="D20" t="str">
        <f>IFERROR(INDEX(tblCRM[姓名／稱呼],MATCH(tblService[[#This Row],[客戶ID]],tblCRM[客戶ID],0)),"")</f>
        <v/>
      </c>
      <c r="F20" t="str">
        <f>IFERROR(INDEX(tblProducts[正式名稱],MATCH(tblService[[#This Row],[服務SKU]],tblProducts[SKU],0)),"")</f>
        <v/>
      </c>
    </row>
    <row r="21" spans="4:6" ht="19.95" customHeight="1">
      <c r="D21" t="str">
        <f>IFERROR(INDEX(tblCRM[姓名／稱呼],MATCH(tblService[[#This Row],[客戶ID]],tblCRM[客戶ID],0)),"")</f>
        <v/>
      </c>
      <c r="F21" t="str">
        <f>IFERROR(INDEX(tblProducts[正式名稱],MATCH(tblService[[#This Row],[服務SKU]],tblProducts[SKU],0)),"")</f>
        <v/>
      </c>
    </row>
    <row r="22" spans="4:6" ht="19.95" customHeight="1">
      <c r="D22" t="str">
        <f>IFERROR(INDEX(tblCRM[姓名／稱呼],MATCH(tblService[[#This Row],[客戶ID]],tblCRM[客戶ID],0)),"")</f>
        <v/>
      </c>
      <c r="F22" t="str">
        <f>IFERROR(INDEX(tblProducts[正式名稱],MATCH(tblService[[#This Row],[服務SKU]],tblProducts[SKU],0)),"")</f>
        <v/>
      </c>
    </row>
    <row r="23" spans="4:6" ht="19.95" customHeight="1">
      <c r="D23" t="str">
        <f>IFERROR(INDEX(tblCRM[姓名／稱呼],MATCH(tblService[[#This Row],[客戶ID]],tblCRM[客戶ID],0)),"")</f>
        <v/>
      </c>
      <c r="F23" t="str">
        <f>IFERROR(INDEX(tblProducts[正式名稱],MATCH(tblService[[#This Row],[服務SKU]],tblProducts[SKU],0)),"")</f>
        <v/>
      </c>
    </row>
    <row r="24" spans="4:6" ht="19.95" customHeight="1">
      <c r="D24" t="str">
        <f>IFERROR(INDEX(tblCRM[姓名／稱呼],MATCH(tblService[[#This Row],[客戶ID]],tblCRM[客戶ID],0)),"")</f>
        <v/>
      </c>
      <c r="F24" t="str">
        <f>IFERROR(INDEX(tblProducts[正式名稱],MATCH(tblService[[#This Row],[服務SKU]],tblProducts[SKU],0)),"")</f>
        <v/>
      </c>
    </row>
    <row r="25" spans="4:6" ht="19.95" customHeight="1">
      <c r="D25" t="str">
        <f>IFERROR(INDEX(tblCRM[姓名／稱呼],MATCH(tblService[[#This Row],[客戶ID]],tblCRM[客戶ID],0)),"")</f>
        <v/>
      </c>
      <c r="F25" t="str">
        <f>IFERROR(INDEX(tblProducts[正式名稱],MATCH(tblService[[#This Row],[服務SKU]],tblProducts[SKU],0)),"")</f>
        <v/>
      </c>
    </row>
    <row r="26" spans="4:6" ht="19.95" customHeight="1">
      <c r="D26" t="str">
        <f>IFERROR(INDEX(tblCRM[姓名／稱呼],MATCH(tblService[[#This Row],[客戶ID]],tblCRM[客戶ID],0)),"")</f>
        <v/>
      </c>
      <c r="F26" t="str">
        <f>IFERROR(INDEX(tblProducts[正式名稱],MATCH(tblService[[#This Row],[服務SKU]],tblProducts[SKU],0)),"")</f>
        <v/>
      </c>
    </row>
    <row r="27" spans="4:6" ht="19.95" customHeight="1">
      <c r="D27" t="str">
        <f>IFERROR(INDEX(tblCRM[姓名／稱呼],MATCH(tblService[[#This Row],[客戶ID]],tblCRM[客戶ID],0)),"")</f>
        <v/>
      </c>
      <c r="F27" t="str">
        <f>IFERROR(INDEX(tblProducts[正式名稱],MATCH(tblService[[#This Row],[服務SKU]],tblProducts[SKU],0)),"")</f>
        <v/>
      </c>
    </row>
    <row r="28" spans="4:6" ht="19.95" customHeight="1">
      <c r="D28" t="str">
        <f>IFERROR(INDEX(tblCRM[姓名／稱呼],MATCH(tblService[[#This Row],[客戶ID]],tblCRM[客戶ID],0)),"")</f>
        <v/>
      </c>
      <c r="F28" t="str">
        <f>IFERROR(INDEX(tblProducts[正式名稱],MATCH(tblService[[#This Row],[服務SKU]],tblProducts[SKU],0)),"")</f>
        <v/>
      </c>
    </row>
    <row r="29" spans="4:6" ht="19.95" customHeight="1">
      <c r="D29" t="str">
        <f>IFERROR(INDEX(tblCRM[姓名／稱呼],MATCH(tblService[[#This Row],[客戶ID]],tblCRM[客戶ID],0)),"")</f>
        <v/>
      </c>
      <c r="F29" t="str">
        <f>IFERROR(INDEX(tblProducts[正式名稱],MATCH(tblService[[#This Row],[服務SKU]],tblProducts[SKU],0)),"")</f>
        <v/>
      </c>
    </row>
    <row r="30" spans="4:6" ht="19.95" customHeight="1">
      <c r="D30" t="str">
        <f>IFERROR(INDEX(tblCRM[姓名／稱呼],MATCH(tblService[[#This Row],[客戶ID]],tblCRM[客戶ID],0)),"")</f>
        <v/>
      </c>
      <c r="F30" t="str">
        <f>IFERROR(INDEX(tblProducts[正式名稱],MATCH(tblService[[#This Row],[服務SKU]],tblProducts[SKU],0)),"")</f>
        <v/>
      </c>
    </row>
    <row r="31" spans="4:6" ht="19.95" customHeight="1">
      <c r="D31" t="str">
        <f>IFERROR(INDEX(tblCRM[姓名／稱呼],MATCH(tblService[[#This Row],[客戶ID]],tblCRM[客戶ID],0)),"")</f>
        <v/>
      </c>
      <c r="F31" t="str">
        <f>IFERROR(INDEX(tblProducts[正式名稱],MATCH(tblService[[#This Row],[服務SKU]],tblProducts[SKU],0)),"")</f>
        <v/>
      </c>
    </row>
    <row r="32" spans="4:6" ht="19.95" customHeight="1">
      <c r="D32" t="str">
        <f>IFERROR(INDEX(tblCRM[姓名／稱呼],MATCH(tblService[[#This Row],[客戶ID]],tblCRM[客戶ID],0)),"")</f>
        <v/>
      </c>
      <c r="F32" t="str">
        <f>IFERROR(INDEX(tblProducts[正式名稱],MATCH(tblService[[#This Row],[服務SKU]],tblProducts[SKU],0)),"")</f>
        <v/>
      </c>
    </row>
    <row r="33" spans="4:6" ht="19.95" customHeight="1">
      <c r="D33" t="str">
        <f>IFERROR(INDEX(tblCRM[姓名／稱呼],MATCH(tblService[[#This Row],[客戶ID]],tblCRM[客戶ID],0)),"")</f>
        <v/>
      </c>
      <c r="F33" t="str">
        <f>IFERROR(INDEX(tblProducts[正式名稱],MATCH(tblService[[#This Row],[服務SKU]],tblProducts[SKU],0)),"")</f>
        <v/>
      </c>
    </row>
    <row r="34" spans="4:6" ht="19.95" customHeight="1">
      <c r="D34" t="str">
        <f>IFERROR(INDEX(tblCRM[姓名／稱呼],MATCH(tblService[[#This Row],[客戶ID]],tblCRM[客戶ID],0)),"")</f>
        <v/>
      </c>
      <c r="F34" t="str">
        <f>IFERROR(INDEX(tblProducts[正式名稱],MATCH(tblService[[#This Row],[服務SKU]],tblProducts[SKU],0)),"")</f>
        <v/>
      </c>
    </row>
    <row r="35" spans="4:6" ht="19.95" customHeight="1">
      <c r="D35" t="str">
        <f>IFERROR(INDEX(tblCRM[姓名／稱呼],MATCH(tblService[[#This Row],[客戶ID]],tblCRM[客戶ID],0)),"")</f>
        <v/>
      </c>
      <c r="F35" t="str">
        <f>IFERROR(INDEX(tblProducts[正式名稱],MATCH(tblService[[#This Row],[服務SKU]],tblProducts[SKU],0)),"")</f>
        <v/>
      </c>
    </row>
    <row r="36" spans="4:6" ht="19.95" customHeight="1">
      <c r="D36" t="str">
        <f>IFERROR(INDEX(tblCRM[姓名／稱呼],MATCH(tblService[[#This Row],[客戶ID]],tblCRM[客戶ID],0)),"")</f>
        <v/>
      </c>
      <c r="F36" t="str">
        <f>IFERROR(INDEX(tblProducts[正式名稱],MATCH(tblService[[#This Row],[服務SKU]],tblProducts[SKU],0)),"")</f>
        <v/>
      </c>
    </row>
    <row r="37" spans="4:6" ht="19.95" customHeight="1">
      <c r="D37" t="str">
        <f>IFERROR(INDEX(tblCRM[姓名／稱呼],MATCH(tblService[[#This Row],[客戶ID]],tblCRM[客戶ID],0)),"")</f>
        <v/>
      </c>
      <c r="F37" t="str">
        <f>IFERROR(INDEX(tblProducts[正式名稱],MATCH(tblService[[#This Row],[服務SKU]],tblProducts[SKU],0)),"")</f>
        <v/>
      </c>
    </row>
    <row r="38" spans="4:6" ht="19.95" customHeight="1">
      <c r="D38" t="str">
        <f>IFERROR(INDEX(tblCRM[姓名／稱呼],MATCH(tblService[[#This Row],[客戶ID]],tblCRM[客戶ID],0)),"")</f>
        <v/>
      </c>
      <c r="F38" t="str">
        <f>IFERROR(INDEX(tblProducts[正式名稱],MATCH(tblService[[#This Row],[服務SKU]],tblProducts[SKU],0)),"")</f>
        <v/>
      </c>
    </row>
    <row r="39" spans="4:6" ht="19.95" customHeight="1">
      <c r="D39" t="str">
        <f>IFERROR(INDEX(tblCRM[姓名／稱呼],MATCH(tblService[[#This Row],[客戶ID]],tblCRM[客戶ID],0)),"")</f>
        <v/>
      </c>
      <c r="F39" t="str">
        <f>IFERROR(INDEX(tblProducts[正式名稱],MATCH(tblService[[#This Row],[服務SKU]],tblProducts[SKU],0)),"")</f>
        <v/>
      </c>
    </row>
    <row r="40" spans="4:6" ht="19.95" customHeight="1">
      <c r="D40" t="str">
        <f>IFERROR(INDEX(tblCRM[姓名／稱呼],MATCH(tblService[[#This Row],[客戶ID]],tblCRM[客戶ID],0)),"")</f>
        <v/>
      </c>
      <c r="F40" t="str">
        <f>IFERROR(INDEX(tblProducts[正式名稱],MATCH(tblService[[#This Row],[服務SKU]],tblProducts[SKU],0)),"")</f>
        <v/>
      </c>
    </row>
    <row r="41" spans="4:6" ht="19.95" customHeight="1">
      <c r="D41" t="str">
        <f>IFERROR(INDEX(tblCRM[姓名／稱呼],MATCH(tblService[[#This Row],[客戶ID]],tblCRM[客戶ID],0)),"")</f>
        <v/>
      </c>
      <c r="F41" t="str">
        <f>IFERROR(INDEX(tblProducts[正式名稱],MATCH(tblService[[#This Row],[服務SKU]],tblProducts[SKU],0)),"")</f>
        <v/>
      </c>
    </row>
    <row r="42" spans="4:6" ht="19.95" customHeight="1">
      <c r="D42" t="str">
        <f>IFERROR(INDEX(tblCRM[姓名／稱呼],MATCH(tblService[[#This Row],[客戶ID]],tblCRM[客戶ID],0)),"")</f>
        <v/>
      </c>
      <c r="F42" t="str">
        <f>IFERROR(INDEX(tblProducts[正式名稱],MATCH(tblService[[#This Row],[服務SKU]],tblProducts[SKU],0)),"")</f>
        <v/>
      </c>
    </row>
    <row r="43" spans="4:6" ht="19.95" customHeight="1">
      <c r="D43" t="str">
        <f>IFERROR(INDEX(tblCRM[姓名／稱呼],MATCH(tblService[[#This Row],[客戶ID]],tblCRM[客戶ID],0)),"")</f>
        <v/>
      </c>
      <c r="F43" t="str">
        <f>IFERROR(INDEX(tblProducts[正式名稱],MATCH(tblService[[#This Row],[服務SKU]],tblProducts[SKU],0)),"")</f>
        <v/>
      </c>
    </row>
    <row r="44" spans="4:6" ht="19.95" customHeight="1">
      <c r="D44" t="str">
        <f>IFERROR(INDEX(tblCRM[姓名／稱呼],MATCH(tblService[[#This Row],[客戶ID]],tblCRM[客戶ID],0)),"")</f>
        <v/>
      </c>
      <c r="F44" t="str">
        <f>IFERROR(INDEX(tblProducts[正式名稱],MATCH(tblService[[#This Row],[服務SKU]],tblProducts[SKU],0)),"")</f>
        <v/>
      </c>
    </row>
    <row r="45" spans="4:6" ht="19.95" customHeight="1">
      <c r="D45" t="str">
        <f>IFERROR(INDEX(tblCRM[姓名／稱呼],MATCH(tblService[[#This Row],[客戶ID]],tblCRM[客戶ID],0)),"")</f>
        <v/>
      </c>
      <c r="F45" t="str">
        <f>IFERROR(INDEX(tblProducts[正式名稱],MATCH(tblService[[#This Row],[服務SKU]],tblProducts[SKU],0)),"")</f>
        <v/>
      </c>
    </row>
    <row r="46" spans="4:6" ht="19.95" customHeight="1">
      <c r="D46" t="str">
        <f>IFERROR(INDEX(tblCRM[姓名／稱呼],MATCH(tblService[[#This Row],[客戶ID]],tblCRM[客戶ID],0)),"")</f>
        <v/>
      </c>
      <c r="F46" t="str">
        <f>IFERROR(INDEX(tblProducts[正式名稱],MATCH(tblService[[#This Row],[服務SKU]],tblProducts[SKU],0)),"")</f>
        <v/>
      </c>
    </row>
    <row r="47" spans="4:6" ht="19.95" customHeight="1">
      <c r="D47" t="str">
        <f>IFERROR(INDEX(tblCRM[姓名／稱呼],MATCH(tblService[[#This Row],[客戶ID]],tblCRM[客戶ID],0)),"")</f>
        <v/>
      </c>
      <c r="F47" t="str">
        <f>IFERROR(INDEX(tblProducts[正式名稱],MATCH(tblService[[#This Row],[服務SKU]],tblProducts[SKU],0)),"")</f>
        <v/>
      </c>
    </row>
    <row r="48" spans="4:6" ht="19.95" customHeight="1">
      <c r="D48" t="str">
        <f>IFERROR(INDEX(tblCRM[姓名／稱呼],MATCH(tblService[[#This Row],[客戶ID]],tblCRM[客戶ID],0)),"")</f>
        <v/>
      </c>
      <c r="F48" t="str">
        <f>IFERROR(INDEX(tblProducts[正式名稱],MATCH(tblService[[#This Row],[服務SKU]],tblProducts[SKU],0)),"")</f>
        <v/>
      </c>
    </row>
    <row r="49" spans="4:6" ht="19.95" customHeight="1">
      <c r="D49" t="str">
        <f>IFERROR(INDEX(tblCRM[姓名／稱呼],MATCH(tblService[[#This Row],[客戶ID]],tblCRM[客戶ID],0)),"")</f>
        <v/>
      </c>
      <c r="F49" t="str">
        <f>IFERROR(INDEX(tblProducts[正式名稱],MATCH(tblService[[#This Row],[服務SKU]],tblProducts[SKU],0)),"")</f>
        <v/>
      </c>
    </row>
    <row r="50" spans="4:6" ht="19.95" customHeight="1">
      <c r="D50" t="str">
        <f>IFERROR(INDEX(tblCRM[姓名／稱呼],MATCH(tblService[[#This Row],[客戶ID]],tblCRM[客戶ID],0)),"")</f>
        <v/>
      </c>
      <c r="F50" t="str">
        <f>IFERROR(INDEX(tblProducts[正式名稱],MATCH(tblService[[#This Row],[服務SKU]],tblProducts[SKU],0)),"")</f>
        <v/>
      </c>
    </row>
    <row r="51" spans="4:6" ht="19.95" customHeight="1">
      <c r="D51" t="str">
        <f>IFERROR(INDEX(tblCRM[姓名／稱呼],MATCH(tblService[[#This Row],[客戶ID]],tblCRM[客戶ID],0)),"")</f>
        <v/>
      </c>
      <c r="F51" t="str">
        <f>IFERROR(INDEX(tblProducts[正式名稱],MATCH(tblService[[#This Row],[服務SKU]],tblProducts[SKU],0)),"")</f>
        <v/>
      </c>
    </row>
    <row r="52" spans="4:6" ht="19.95" customHeight="1">
      <c r="D52" t="str">
        <f>IFERROR(INDEX(tblCRM[姓名／稱呼],MATCH(tblService[[#This Row],[客戶ID]],tblCRM[客戶ID],0)),"")</f>
        <v/>
      </c>
      <c r="F52" t="str">
        <f>IFERROR(INDEX(tblProducts[正式名稱],MATCH(tblService[[#This Row],[服務SKU]],tblProducts[SKU],0)),"")</f>
        <v/>
      </c>
    </row>
    <row r="53" spans="4:6" ht="19.95" customHeight="1">
      <c r="D53" t="str">
        <f>IFERROR(INDEX(tblCRM[姓名／稱呼],MATCH(tblService[[#This Row],[客戶ID]],tblCRM[客戶ID],0)),"")</f>
        <v/>
      </c>
      <c r="F53" t="str">
        <f>IFERROR(INDEX(tblProducts[正式名稱],MATCH(tblService[[#This Row],[服務SKU]],tblProducts[SKU],0)),"")</f>
        <v/>
      </c>
    </row>
    <row r="54" spans="4:6" ht="19.95" customHeight="1">
      <c r="D54" t="str">
        <f>IFERROR(INDEX(tblCRM[姓名／稱呼],MATCH(tblService[[#This Row],[客戶ID]],tblCRM[客戶ID],0)),"")</f>
        <v/>
      </c>
      <c r="F54" t="str">
        <f>IFERROR(INDEX(tblProducts[正式名稱],MATCH(tblService[[#This Row],[服務SKU]],tblProducts[SKU],0)),"")</f>
        <v/>
      </c>
    </row>
    <row r="55" spans="4:6" ht="19.95" customHeight="1">
      <c r="D55" t="str">
        <f>IFERROR(INDEX(tblCRM[姓名／稱呼],MATCH(tblService[[#This Row],[客戶ID]],tblCRM[客戶ID],0)),"")</f>
        <v/>
      </c>
      <c r="F55" t="str">
        <f>IFERROR(INDEX(tblProducts[正式名稱],MATCH(tblService[[#This Row],[服務SKU]],tblProducts[SKU],0)),"")</f>
        <v/>
      </c>
    </row>
    <row r="56" spans="4:6" ht="19.95" customHeight="1">
      <c r="D56" t="str">
        <f>IFERROR(INDEX(tblCRM[姓名／稱呼],MATCH(tblService[[#This Row],[客戶ID]],tblCRM[客戶ID],0)),"")</f>
        <v/>
      </c>
      <c r="F56" t="str">
        <f>IFERROR(INDEX(tblProducts[正式名稱],MATCH(tblService[[#This Row],[服務SKU]],tblProducts[SKU],0)),"")</f>
        <v/>
      </c>
    </row>
    <row r="57" spans="4:6" ht="19.95" customHeight="1">
      <c r="D57" t="str">
        <f>IFERROR(INDEX(tblCRM[姓名／稱呼],MATCH(tblService[[#This Row],[客戶ID]],tblCRM[客戶ID],0)),"")</f>
        <v/>
      </c>
      <c r="F57" t="str">
        <f>IFERROR(INDEX(tblProducts[正式名稱],MATCH(tblService[[#This Row],[服務SKU]],tblProducts[SKU],0)),"")</f>
        <v/>
      </c>
    </row>
    <row r="58" spans="4:6" ht="19.95" customHeight="1">
      <c r="D58" t="str">
        <f>IFERROR(INDEX(tblCRM[姓名／稱呼],MATCH(tblService[[#This Row],[客戶ID]],tblCRM[客戶ID],0)),"")</f>
        <v/>
      </c>
      <c r="F58" t="str">
        <f>IFERROR(INDEX(tblProducts[正式名稱],MATCH(tblService[[#This Row],[服務SKU]],tblProducts[SKU],0)),"")</f>
        <v/>
      </c>
    </row>
    <row r="59" spans="4:6" ht="19.95" customHeight="1">
      <c r="D59" t="str">
        <f>IFERROR(INDEX(tblCRM[姓名／稱呼],MATCH(tblService[[#This Row],[客戶ID]],tblCRM[客戶ID],0)),"")</f>
        <v/>
      </c>
      <c r="F59" t="str">
        <f>IFERROR(INDEX(tblProducts[正式名稱],MATCH(tblService[[#This Row],[服務SKU]],tblProducts[SKU],0)),"")</f>
        <v/>
      </c>
    </row>
    <row r="60" spans="4:6" ht="19.95" customHeight="1">
      <c r="D60" t="str">
        <f>IFERROR(INDEX(tblCRM[姓名／稱呼],MATCH(tblService[[#This Row],[客戶ID]],tblCRM[客戶ID],0)),"")</f>
        <v/>
      </c>
      <c r="F60" t="str">
        <f>IFERROR(INDEX(tblProducts[正式名稱],MATCH(tblService[[#This Row],[服務SKU]],tblProducts[SKU],0)),"")</f>
        <v/>
      </c>
    </row>
    <row r="61" spans="4:6" ht="19.95" customHeight="1">
      <c r="D61" t="str">
        <f>IFERROR(INDEX(tblCRM[姓名／稱呼],MATCH(tblService[[#This Row],[客戶ID]],tblCRM[客戶ID],0)),"")</f>
        <v/>
      </c>
      <c r="F61" t="str">
        <f>IFERROR(INDEX(tblProducts[正式名稱],MATCH(tblService[[#This Row],[服務SKU]],tblProducts[SKU],0)),"")</f>
        <v/>
      </c>
    </row>
    <row r="62" spans="4:6" ht="19.95" customHeight="1">
      <c r="D62" t="str">
        <f>IFERROR(INDEX(tblCRM[姓名／稱呼],MATCH(tblService[[#This Row],[客戶ID]],tblCRM[客戶ID],0)),"")</f>
        <v/>
      </c>
      <c r="F62" t="str">
        <f>IFERROR(INDEX(tblProducts[正式名稱],MATCH(tblService[[#This Row],[服務SKU]],tblProducts[SKU],0)),"")</f>
        <v/>
      </c>
    </row>
    <row r="63" spans="4:6" ht="19.95" customHeight="1">
      <c r="D63" t="str">
        <f>IFERROR(INDEX(tblCRM[姓名／稱呼],MATCH(tblService[[#This Row],[客戶ID]],tblCRM[客戶ID],0)),"")</f>
        <v/>
      </c>
      <c r="F63" t="str">
        <f>IFERROR(INDEX(tblProducts[正式名稱],MATCH(tblService[[#This Row],[服務SKU]],tblProducts[SKU],0)),"")</f>
        <v/>
      </c>
    </row>
    <row r="64" spans="4:6" ht="19.95" customHeight="1">
      <c r="D64" t="str">
        <f>IFERROR(INDEX(tblCRM[姓名／稱呼],MATCH(tblService[[#This Row],[客戶ID]],tblCRM[客戶ID],0)),"")</f>
        <v/>
      </c>
      <c r="F64" t="str">
        <f>IFERROR(INDEX(tblProducts[正式名稱],MATCH(tblService[[#This Row],[服務SKU]],tblProducts[SKU],0)),"")</f>
        <v/>
      </c>
    </row>
    <row r="65" spans="4:6" ht="19.95" customHeight="1">
      <c r="D65" t="str">
        <f>IFERROR(INDEX(tblCRM[姓名／稱呼],MATCH(tblService[[#This Row],[客戶ID]],tblCRM[客戶ID],0)),"")</f>
        <v/>
      </c>
      <c r="F65" t="str">
        <f>IFERROR(INDEX(tblProducts[正式名稱],MATCH(tblService[[#This Row],[服務SKU]],tblProducts[SKU],0)),"")</f>
        <v/>
      </c>
    </row>
    <row r="66" spans="4:6" ht="19.95" customHeight="1">
      <c r="D66" t="str">
        <f>IFERROR(INDEX(tblCRM[姓名／稱呼],MATCH(tblService[[#This Row],[客戶ID]],tblCRM[客戶ID],0)),"")</f>
        <v/>
      </c>
      <c r="F66" t="str">
        <f>IFERROR(INDEX(tblProducts[正式名稱],MATCH(tblService[[#This Row],[服務SKU]],tblProducts[SKU],0)),"")</f>
        <v/>
      </c>
    </row>
    <row r="67" spans="4:6" ht="19.95" customHeight="1">
      <c r="D67" t="str">
        <f>IFERROR(INDEX(tblCRM[姓名／稱呼],MATCH(tblService[[#This Row],[客戶ID]],tblCRM[客戶ID],0)),"")</f>
        <v/>
      </c>
      <c r="F67" t="str">
        <f>IFERROR(INDEX(tblProducts[正式名稱],MATCH(tblService[[#This Row],[服務SKU]],tblProducts[SKU],0)),"")</f>
        <v/>
      </c>
    </row>
    <row r="68" spans="4:6" ht="19.95" customHeight="1">
      <c r="D68" t="str">
        <f>IFERROR(INDEX(tblCRM[姓名／稱呼],MATCH(tblService[[#This Row],[客戶ID]],tblCRM[客戶ID],0)),"")</f>
        <v/>
      </c>
      <c r="F68" t="str">
        <f>IFERROR(INDEX(tblProducts[正式名稱],MATCH(tblService[[#This Row],[服務SKU]],tblProducts[SKU],0)),"")</f>
        <v/>
      </c>
    </row>
    <row r="69" spans="4:6" ht="19.95" customHeight="1">
      <c r="D69" t="str">
        <f>IFERROR(INDEX(tblCRM[姓名／稱呼],MATCH(tblService[[#This Row],[客戶ID]],tblCRM[客戶ID],0)),"")</f>
        <v/>
      </c>
      <c r="F69" t="str">
        <f>IFERROR(INDEX(tblProducts[正式名稱],MATCH(tblService[[#This Row],[服務SKU]],tblProducts[SKU],0)),"")</f>
        <v/>
      </c>
    </row>
    <row r="70" spans="4:6" ht="19.95" customHeight="1">
      <c r="D70" t="str">
        <f>IFERROR(INDEX(tblCRM[姓名／稱呼],MATCH(tblService[[#This Row],[客戶ID]],tblCRM[客戶ID],0)),"")</f>
        <v/>
      </c>
      <c r="F70" t="str">
        <f>IFERROR(INDEX(tblProducts[正式名稱],MATCH(tblService[[#This Row],[服務SKU]],tblProducts[SKU],0)),"")</f>
        <v/>
      </c>
    </row>
    <row r="71" spans="4:6" ht="19.95" customHeight="1">
      <c r="D71" t="str">
        <f>IFERROR(INDEX(tblCRM[姓名／稱呼],MATCH(tblService[[#This Row],[客戶ID]],tblCRM[客戶ID],0)),"")</f>
        <v/>
      </c>
      <c r="F71" t="str">
        <f>IFERROR(INDEX(tblProducts[正式名稱],MATCH(tblService[[#This Row],[服務SKU]],tblProducts[SKU],0)),"")</f>
        <v/>
      </c>
    </row>
    <row r="72" spans="4:6" ht="19.95" customHeight="1">
      <c r="D72" t="str">
        <f>IFERROR(INDEX(tblCRM[姓名／稱呼],MATCH(tblService[[#This Row],[客戶ID]],tblCRM[客戶ID],0)),"")</f>
        <v/>
      </c>
      <c r="F72" t="str">
        <f>IFERROR(INDEX(tblProducts[正式名稱],MATCH(tblService[[#This Row],[服務SKU]],tblProducts[SKU],0)),"")</f>
        <v/>
      </c>
    </row>
    <row r="73" spans="4:6" ht="19.95" customHeight="1">
      <c r="D73" t="str">
        <f>IFERROR(INDEX(tblCRM[姓名／稱呼],MATCH(tblService[[#This Row],[客戶ID]],tblCRM[客戶ID],0)),"")</f>
        <v/>
      </c>
      <c r="F73" t="str">
        <f>IFERROR(INDEX(tblProducts[正式名稱],MATCH(tblService[[#This Row],[服務SKU]],tblProducts[SKU],0)),"")</f>
        <v/>
      </c>
    </row>
    <row r="74" spans="4:6" ht="19.95" customHeight="1">
      <c r="D74" t="str">
        <f>IFERROR(INDEX(tblCRM[姓名／稱呼],MATCH(tblService[[#This Row],[客戶ID]],tblCRM[客戶ID],0)),"")</f>
        <v/>
      </c>
      <c r="F74" t="str">
        <f>IFERROR(INDEX(tblProducts[正式名稱],MATCH(tblService[[#This Row],[服務SKU]],tblProducts[SKU],0)),"")</f>
        <v/>
      </c>
    </row>
    <row r="75" spans="4:6" ht="19.95" customHeight="1">
      <c r="D75" t="str">
        <f>IFERROR(INDEX(tblCRM[姓名／稱呼],MATCH(tblService[[#This Row],[客戶ID]],tblCRM[客戶ID],0)),"")</f>
        <v/>
      </c>
      <c r="F75" t="str">
        <f>IFERROR(INDEX(tblProducts[正式名稱],MATCH(tblService[[#This Row],[服務SKU]],tblProducts[SKU],0)),"")</f>
        <v/>
      </c>
    </row>
    <row r="76" spans="4:6" ht="19.95" customHeight="1">
      <c r="D76" t="str">
        <f>IFERROR(INDEX(tblCRM[姓名／稱呼],MATCH(tblService[[#This Row],[客戶ID]],tblCRM[客戶ID],0)),"")</f>
        <v/>
      </c>
      <c r="F76" t="str">
        <f>IFERROR(INDEX(tblProducts[正式名稱],MATCH(tblService[[#This Row],[服務SKU]],tblProducts[SKU],0)),"")</f>
        <v/>
      </c>
    </row>
    <row r="77" spans="4:6" ht="19.95" customHeight="1">
      <c r="D77" t="str">
        <f>IFERROR(INDEX(tblCRM[姓名／稱呼],MATCH(tblService[[#This Row],[客戶ID]],tblCRM[客戶ID],0)),"")</f>
        <v/>
      </c>
      <c r="F77" t="str">
        <f>IFERROR(INDEX(tblProducts[正式名稱],MATCH(tblService[[#This Row],[服務SKU]],tblProducts[SKU],0)),"")</f>
        <v/>
      </c>
    </row>
    <row r="78" spans="4:6" ht="19.95" customHeight="1">
      <c r="D78" t="str">
        <f>IFERROR(INDEX(tblCRM[姓名／稱呼],MATCH(tblService[[#This Row],[客戶ID]],tblCRM[客戶ID],0)),"")</f>
        <v/>
      </c>
      <c r="F78" t="str">
        <f>IFERROR(INDEX(tblProducts[正式名稱],MATCH(tblService[[#This Row],[服務SKU]],tblProducts[SKU],0)),"")</f>
        <v/>
      </c>
    </row>
    <row r="79" spans="4:6" ht="19.95" customHeight="1">
      <c r="D79" t="str">
        <f>IFERROR(INDEX(tblCRM[姓名／稱呼],MATCH(tblService[[#This Row],[客戶ID]],tblCRM[客戶ID],0)),"")</f>
        <v/>
      </c>
      <c r="F79" t="str">
        <f>IFERROR(INDEX(tblProducts[正式名稱],MATCH(tblService[[#This Row],[服務SKU]],tblProducts[SKU],0)),"")</f>
        <v/>
      </c>
    </row>
    <row r="80" spans="4:6" ht="19.95" customHeight="1">
      <c r="D80" t="str">
        <f>IFERROR(INDEX(tblCRM[姓名／稱呼],MATCH(tblService[[#This Row],[客戶ID]],tblCRM[客戶ID],0)),"")</f>
        <v/>
      </c>
      <c r="F80" t="str">
        <f>IFERROR(INDEX(tblProducts[正式名稱],MATCH(tblService[[#This Row],[服務SKU]],tblProducts[SKU],0)),"")</f>
        <v/>
      </c>
    </row>
    <row r="81" spans="4:6" ht="19.95" customHeight="1">
      <c r="D81" t="str">
        <f>IFERROR(INDEX(tblCRM[姓名／稱呼],MATCH(tblService[[#This Row],[客戶ID]],tblCRM[客戶ID],0)),"")</f>
        <v/>
      </c>
      <c r="F81" t="str">
        <f>IFERROR(INDEX(tblProducts[正式名稱],MATCH(tblService[[#This Row],[服務SKU]],tblProducts[SKU],0)),"")</f>
        <v/>
      </c>
    </row>
    <row r="82" spans="4:6" ht="19.95" customHeight="1">
      <c r="D82" t="str">
        <f>IFERROR(INDEX(tblCRM[姓名／稱呼],MATCH(tblService[[#This Row],[客戶ID]],tblCRM[客戶ID],0)),"")</f>
        <v/>
      </c>
      <c r="F82" t="str">
        <f>IFERROR(INDEX(tblProducts[正式名稱],MATCH(tblService[[#This Row],[服務SKU]],tblProducts[SKU],0)),"")</f>
        <v/>
      </c>
    </row>
    <row r="83" spans="4:6" ht="19.95" customHeight="1">
      <c r="D83" t="str">
        <f>IFERROR(INDEX(tblCRM[姓名／稱呼],MATCH(tblService[[#This Row],[客戶ID]],tblCRM[客戶ID],0)),"")</f>
        <v/>
      </c>
      <c r="F83" t="str">
        <f>IFERROR(INDEX(tblProducts[正式名稱],MATCH(tblService[[#This Row],[服務SKU]],tblProducts[SKU],0)),"")</f>
        <v/>
      </c>
    </row>
    <row r="84" spans="4:6" ht="19.95" customHeight="1">
      <c r="D84" t="str">
        <f>IFERROR(INDEX(tblCRM[姓名／稱呼],MATCH(tblService[[#This Row],[客戶ID]],tblCRM[客戶ID],0)),"")</f>
        <v/>
      </c>
      <c r="F84" t="str">
        <f>IFERROR(INDEX(tblProducts[正式名稱],MATCH(tblService[[#This Row],[服務SKU]],tblProducts[SKU],0)),"")</f>
        <v/>
      </c>
    </row>
    <row r="85" spans="4:6" ht="19.95" customHeight="1">
      <c r="D85" t="str">
        <f>IFERROR(INDEX(tblCRM[姓名／稱呼],MATCH(tblService[[#This Row],[客戶ID]],tblCRM[客戶ID],0)),"")</f>
        <v/>
      </c>
      <c r="F85" t="str">
        <f>IFERROR(INDEX(tblProducts[正式名稱],MATCH(tblService[[#This Row],[服務SKU]],tblProducts[SKU],0)),"")</f>
        <v/>
      </c>
    </row>
    <row r="86" spans="4:6" ht="19.95" customHeight="1">
      <c r="D86" t="str">
        <f>IFERROR(INDEX(tblCRM[姓名／稱呼],MATCH(tblService[[#This Row],[客戶ID]],tblCRM[客戶ID],0)),"")</f>
        <v/>
      </c>
      <c r="F86" t="str">
        <f>IFERROR(INDEX(tblProducts[正式名稱],MATCH(tblService[[#This Row],[服務SKU]],tblProducts[SKU],0)),"")</f>
        <v/>
      </c>
    </row>
    <row r="87" spans="4:6" ht="19.95" customHeight="1">
      <c r="D87" t="str">
        <f>IFERROR(INDEX(tblCRM[姓名／稱呼],MATCH(tblService[[#This Row],[客戶ID]],tblCRM[客戶ID],0)),"")</f>
        <v/>
      </c>
      <c r="F87" t="str">
        <f>IFERROR(INDEX(tblProducts[正式名稱],MATCH(tblService[[#This Row],[服務SKU]],tblProducts[SKU],0)),"")</f>
        <v/>
      </c>
    </row>
    <row r="88" spans="4:6" ht="19.95" customHeight="1">
      <c r="D88" t="str">
        <f>IFERROR(INDEX(tblCRM[姓名／稱呼],MATCH(tblService[[#This Row],[客戶ID]],tblCRM[客戶ID],0)),"")</f>
        <v/>
      </c>
      <c r="F88" t="str">
        <f>IFERROR(INDEX(tblProducts[正式名稱],MATCH(tblService[[#This Row],[服務SKU]],tblProducts[SKU],0)),"")</f>
        <v/>
      </c>
    </row>
    <row r="89" spans="4:6" ht="19.95" customHeight="1">
      <c r="D89" t="str">
        <f>IFERROR(INDEX(tblCRM[姓名／稱呼],MATCH(tblService[[#This Row],[客戶ID]],tblCRM[客戶ID],0)),"")</f>
        <v/>
      </c>
      <c r="F89" t="str">
        <f>IFERROR(INDEX(tblProducts[正式名稱],MATCH(tblService[[#This Row],[服務SKU]],tblProducts[SKU],0)),"")</f>
        <v/>
      </c>
    </row>
    <row r="90" spans="4:6" ht="19.95" customHeight="1">
      <c r="D90" t="str">
        <f>IFERROR(INDEX(tblCRM[姓名／稱呼],MATCH(tblService[[#This Row],[客戶ID]],tblCRM[客戶ID],0)),"")</f>
        <v/>
      </c>
      <c r="F90" t="str">
        <f>IFERROR(INDEX(tblProducts[正式名稱],MATCH(tblService[[#This Row],[服務SKU]],tblProducts[SKU],0)),"")</f>
        <v/>
      </c>
    </row>
    <row r="91" spans="4:6" ht="19.95" customHeight="1">
      <c r="D91" t="str">
        <f>IFERROR(INDEX(tblCRM[姓名／稱呼],MATCH(tblService[[#This Row],[客戶ID]],tblCRM[客戶ID],0)),"")</f>
        <v/>
      </c>
      <c r="F91" t="str">
        <f>IFERROR(INDEX(tblProducts[正式名稱],MATCH(tblService[[#This Row],[服務SKU]],tblProducts[SKU],0)),"")</f>
        <v/>
      </c>
    </row>
    <row r="92" spans="4:6" ht="19.95" customHeight="1">
      <c r="D92" t="str">
        <f>IFERROR(INDEX(tblCRM[姓名／稱呼],MATCH(tblService[[#This Row],[客戶ID]],tblCRM[客戶ID],0)),"")</f>
        <v/>
      </c>
      <c r="F92" t="str">
        <f>IFERROR(INDEX(tblProducts[正式名稱],MATCH(tblService[[#This Row],[服務SKU]],tblProducts[SKU],0)),"")</f>
        <v/>
      </c>
    </row>
    <row r="93" spans="4:6" ht="19.95" customHeight="1">
      <c r="D93" t="str">
        <f>IFERROR(INDEX(tblCRM[姓名／稱呼],MATCH(tblService[[#This Row],[客戶ID]],tblCRM[客戶ID],0)),"")</f>
        <v/>
      </c>
      <c r="F93" t="str">
        <f>IFERROR(INDEX(tblProducts[正式名稱],MATCH(tblService[[#This Row],[服務SKU]],tblProducts[SKU],0)),"")</f>
        <v/>
      </c>
    </row>
    <row r="94" spans="4:6" ht="19.95" customHeight="1">
      <c r="D94" t="str">
        <f>IFERROR(INDEX(tblCRM[姓名／稱呼],MATCH(tblService[[#This Row],[客戶ID]],tblCRM[客戶ID],0)),"")</f>
        <v/>
      </c>
      <c r="F94" t="str">
        <f>IFERROR(INDEX(tblProducts[正式名稱],MATCH(tblService[[#This Row],[服務SKU]],tblProducts[SKU],0)),"")</f>
        <v/>
      </c>
    </row>
    <row r="95" spans="4:6" ht="19.95" customHeight="1">
      <c r="D95" t="str">
        <f>IFERROR(INDEX(tblCRM[姓名／稱呼],MATCH(tblService[[#This Row],[客戶ID]],tblCRM[客戶ID],0)),"")</f>
        <v/>
      </c>
      <c r="F95" t="str">
        <f>IFERROR(INDEX(tblProducts[正式名稱],MATCH(tblService[[#This Row],[服務SKU]],tblProducts[SKU],0)),"")</f>
        <v/>
      </c>
    </row>
    <row r="96" spans="4:6" ht="19.95" customHeight="1">
      <c r="D96" t="str">
        <f>IFERROR(INDEX(tblCRM[姓名／稱呼],MATCH(tblService[[#This Row],[客戶ID]],tblCRM[客戶ID],0)),"")</f>
        <v/>
      </c>
      <c r="F96" t="str">
        <f>IFERROR(INDEX(tblProducts[正式名稱],MATCH(tblService[[#This Row],[服務SKU]],tblProducts[SKU],0)),"")</f>
        <v/>
      </c>
    </row>
    <row r="97" spans="4:6" ht="19.95" customHeight="1">
      <c r="D97" t="str">
        <f>IFERROR(INDEX(tblCRM[姓名／稱呼],MATCH(tblService[[#This Row],[客戶ID]],tblCRM[客戶ID],0)),"")</f>
        <v/>
      </c>
      <c r="F97" t="str">
        <f>IFERROR(INDEX(tblProducts[正式名稱],MATCH(tblService[[#This Row],[服務SKU]],tblProducts[SKU],0)),"")</f>
        <v/>
      </c>
    </row>
    <row r="98" spans="4:6" ht="19.95" customHeight="1">
      <c r="D98" t="str">
        <f>IFERROR(INDEX(tblCRM[姓名／稱呼],MATCH(tblService[[#This Row],[客戶ID]],tblCRM[客戶ID],0)),"")</f>
        <v/>
      </c>
      <c r="F98" t="str">
        <f>IFERROR(INDEX(tblProducts[正式名稱],MATCH(tblService[[#This Row],[服務SKU]],tblProducts[SKU],0)),"")</f>
        <v/>
      </c>
    </row>
    <row r="99" spans="4:6" ht="19.95" customHeight="1">
      <c r="D99" t="str">
        <f>IFERROR(INDEX(tblCRM[姓名／稱呼],MATCH(tblService[[#This Row],[客戶ID]],tblCRM[客戶ID],0)),"")</f>
        <v/>
      </c>
      <c r="F99" t="str">
        <f>IFERROR(INDEX(tblProducts[正式名稱],MATCH(tblService[[#This Row],[服務SKU]],tblProducts[SKU],0)),"")</f>
        <v/>
      </c>
    </row>
    <row r="100" spans="4:6" ht="19.95" customHeight="1">
      <c r="D100" t="str">
        <f>IFERROR(INDEX(tblCRM[姓名／稱呼],MATCH(tblService[[#This Row],[客戶ID]],tblCRM[客戶ID],0)),"")</f>
        <v/>
      </c>
      <c r="F100" t="str">
        <f>IFERROR(INDEX(tblProducts[正式名稱],MATCH(tblService[[#This Row],[服務SKU]],tblProducts[SKU],0)),"")</f>
        <v/>
      </c>
    </row>
    <row r="101" spans="4:6" ht="19.95" customHeight="1">
      <c r="D101" t="str">
        <f>IFERROR(INDEX(tblCRM[姓名／稱呼],MATCH(tblService[[#This Row],[客戶ID]],tblCRM[客戶ID],0)),"")</f>
        <v/>
      </c>
      <c r="F101" t="str">
        <f>IFERROR(INDEX(tblProducts[正式名稱],MATCH(tblService[[#This Row],[服務SKU]],tblProducts[SKU],0)),"")</f>
        <v/>
      </c>
    </row>
    <row r="102" spans="4:6" ht="19.95" customHeight="1">
      <c r="D102" t="str">
        <f>IFERROR(INDEX(tblCRM[姓名／稱呼],MATCH(tblService[[#This Row],[客戶ID]],tblCRM[客戶ID],0)),"")</f>
        <v/>
      </c>
      <c r="F102" t="str">
        <f>IFERROR(INDEX(tblProducts[正式名稱],MATCH(tblService[[#This Row],[服務SKU]],tblProducts[SKU],0)),"")</f>
        <v/>
      </c>
    </row>
    <row r="103" spans="4:6" ht="19.95" customHeight="1">
      <c r="D103" t="str">
        <f>IFERROR(INDEX(tblCRM[姓名／稱呼],MATCH(tblService[[#This Row],[客戶ID]],tblCRM[客戶ID],0)),"")</f>
        <v/>
      </c>
      <c r="F103" t="str">
        <f>IFERROR(INDEX(tblProducts[正式名稱],MATCH(tblService[[#This Row],[服務SKU]],tblProducts[SKU],0)),"")</f>
        <v/>
      </c>
    </row>
    <row r="104" spans="4:6" ht="19.95" customHeight="1">
      <c r="D104" t="str">
        <f>IFERROR(INDEX(tblCRM[姓名／稱呼],MATCH(tblService[[#This Row],[客戶ID]],tblCRM[客戶ID],0)),"")</f>
        <v/>
      </c>
      <c r="F104" t="str">
        <f>IFERROR(INDEX(tblProducts[正式名稱],MATCH(tblService[[#This Row],[服務SKU]],tblProducts[SKU],0)),"")</f>
        <v/>
      </c>
    </row>
    <row r="105" spans="4:6" ht="19.95" customHeight="1">
      <c r="D105" t="str">
        <f>IFERROR(INDEX(tblCRM[姓名／稱呼],MATCH(tblService[[#This Row],[客戶ID]],tblCRM[客戶ID],0)),"")</f>
        <v/>
      </c>
      <c r="F105" t="str">
        <f>IFERROR(INDEX(tblProducts[正式名稱],MATCH(tblService[[#This Row],[服務SKU]],tblProducts[SKU],0)),"")</f>
        <v/>
      </c>
    </row>
    <row r="106" spans="4:6" ht="19.95" customHeight="1">
      <c r="D106" t="str">
        <f>IFERROR(INDEX(tblCRM[姓名／稱呼],MATCH(tblService[[#This Row],[客戶ID]],tblCRM[客戶ID],0)),"")</f>
        <v/>
      </c>
      <c r="F106" t="str">
        <f>IFERROR(INDEX(tblProducts[正式名稱],MATCH(tblService[[#This Row],[服務SKU]],tblProducts[SKU],0)),"")</f>
        <v/>
      </c>
    </row>
    <row r="107" spans="4:6" ht="19.95" customHeight="1">
      <c r="D107" t="str">
        <f>IFERROR(INDEX(tblCRM[姓名／稱呼],MATCH(tblService[[#This Row],[客戶ID]],tblCRM[客戶ID],0)),"")</f>
        <v/>
      </c>
      <c r="F107" t="str">
        <f>IFERROR(INDEX(tblProducts[正式名稱],MATCH(tblService[[#This Row],[服務SKU]],tblProducts[SKU],0)),"")</f>
        <v/>
      </c>
    </row>
    <row r="108" spans="4:6" ht="19.95" customHeight="1">
      <c r="D108" t="str">
        <f>IFERROR(INDEX(tblCRM[姓名／稱呼],MATCH(tblService[[#This Row],[客戶ID]],tblCRM[客戶ID],0)),"")</f>
        <v/>
      </c>
      <c r="F108" t="str">
        <f>IFERROR(INDEX(tblProducts[正式名稱],MATCH(tblService[[#This Row],[服務SKU]],tblProducts[SKU],0)),"")</f>
        <v/>
      </c>
    </row>
    <row r="109" spans="4:6" ht="19.95" customHeight="1">
      <c r="D109" t="str">
        <f>IFERROR(INDEX(tblCRM[姓名／稱呼],MATCH(tblService[[#This Row],[客戶ID]],tblCRM[客戶ID],0)),"")</f>
        <v/>
      </c>
      <c r="F109" t="str">
        <f>IFERROR(INDEX(tblProducts[正式名稱],MATCH(tblService[[#This Row],[服務SKU]],tblProducts[SKU],0)),"")</f>
        <v/>
      </c>
    </row>
    <row r="110" spans="4:6" ht="19.95" customHeight="1">
      <c r="D110" t="str">
        <f>IFERROR(INDEX(tblCRM[姓名／稱呼],MATCH(tblService[[#This Row],[客戶ID]],tblCRM[客戶ID],0)),"")</f>
        <v/>
      </c>
      <c r="F110" t="str">
        <f>IFERROR(INDEX(tblProducts[正式名稱],MATCH(tblService[[#This Row],[服務SKU]],tblProducts[SKU],0)),"")</f>
        <v/>
      </c>
    </row>
    <row r="111" spans="4:6" ht="19.95" customHeight="1">
      <c r="D111" t="str">
        <f>IFERROR(INDEX(tblCRM[姓名／稱呼],MATCH(tblService[[#This Row],[客戶ID]],tblCRM[客戶ID],0)),"")</f>
        <v/>
      </c>
      <c r="F111" t="str">
        <f>IFERROR(INDEX(tblProducts[正式名稱],MATCH(tblService[[#This Row],[服務SKU]],tblProducts[SKU],0)),"")</f>
        <v/>
      </c>
    </row>
    <row r="112" spans="4:6" ht="19.95" customHeight="1">
      <c r="D112" t="str">
        <f>IFERROR(INDEX(tblCRM[姓名／稱呼],MATCH(tblService[[#This Row],[客戶ID]],tblCRM[客戶ID],0)),"")</f>
        <v/>
      </c>
      <c r="F112" t="str">
        <f>IFERROR(INDEX(tblProducts[正式名稱],MATCH(tblService[[#This Row],[服務SKU]],tblProducts[SKU],0)),"")</f>
        <v/>
      </c>
    </row>
    <row r="113" spans="4:6" ht="19.95" customHeight="1">
      <c r="D113" t="str">
        <f>IFERROR(INDEX(tblCRM[姓名／稱呼],MATCH(tblService[[#This Row],[客戶ID]],tblCRM[客戶ID],0)),"")</f>
        <v/>
      </c>
      <c r="F113" t="str">
        <f>IFERROR(INDEX(tblProducts[正式名稱],MATCH(tblService[[#This Row],[服務SKU]],tblProducts[SKU],0)),"")</f>
        <v/>
      </c>
    </row>
    <row r="114" spans="4:6" ht="19.95" customHeight="1">
      <c r="D114" t="str">
        <f>IFERROR(INDEX(tblCRM[姓名／稱呼],MATCH(tblService[[#This Row],[客戶ID]],tblCRM[客戶ID],0)),"")</f>
        <v/>
      </c>
      <c r="F114" t="str">
        <f>IFERROR(INDEX(tblProducts[正式名稱],MATCH(tblService[[#This Row],[服務SKU]],tblProducts[SKU],0)),"")</f>
        <v/>
      </c>
    </row>
    <row r="115" spans="4:6" ht="19.95" customHeight="1">
      <c r="D115" t="str">
        <f>IFERROR(INDEX(tblCRM[姓名／稱呼],MATCH(tblService[[#This Row],[客戶ID]],tblCRM[客戶ID],0)),"")</f>
        <v/>
      </c>
      <c r="F115" t="str">
        <f>IFERROR(INDEX(tblProducts[正式名稱],MATCH(tblService[[#This Row],[服務SKU]],tblProducts[SKU],0)),"")</f>
        <v/>
      </c>
    </row>
    <row r="116" spans="4:6" ht="19.95" customHeight="1">
      <c r="D116" t="str">
        <f>IFERROR(INDEX(tblCRM[姓名／稱呼],MATCH(tblService[[#This Row],[客戶ID]],tblCRM[客戶ID],0)),"")</f>
        <v/>
      </c>
      <c r="F116" t="str">
        <f>IFERROR(INDEX(tblProducts[正式名稱],MATCH(tblService[[#This Row],[服務SKU]],tblProducts[SKU],0)),"")</f>
        <v/>
      </c>
    </row>
    <row r="117" spans="4:6" ht="19.95" customHeight="1">
      <c r="D117" t="str">
        <f>IFERROR(INDEX(tblCRM[姓名／稱呼],MATCH(tblService[[#This Row],[客戶ID]],tblCRM[客戶ID],0)),"")</f>
        <v/>
      </c>
      <c r="F117" t="str">
        <f>IFERROR(INDEX(tblProducts[正式名稱],MATCH(tblService[[#This Row],[服務SKU]],tblProducts[SKU],0)),"")</f>
        <v/>
      </c>
    </row>
    <row r="118" spans="4:6" ht="19.95" customHeight="1">
      <c r="D118" t="str">
        <f>IFERROR(INDEX(tblCRM[姓名／稱呼],MATCH(tblService[[#This Row],[客戶ID]],tblCRM[客戶ID],0)),"")</f>
        <v/>
      </c>
      <c r="F118" t="str">
        <f>IFERROR(INDEX(tblProducts[正式名稱],MATCH(tblService[[#This Row],[服務SKU]],tblProducts[SKU],0)),"")</f>
        <v/>
      </c>
    </row>
    <row r="119" spans="4:6" ht="19.95" customHeight="1">
      <c r="D119" t="str">
        <f>IFERROR(INDEX(tblCRM[姓名／稱呼],MATCH(tblService[[#This Row],[客戶ID]],tblCRM[客戶ID],0)),"")</f>
        <v/>
      </c>
      <c r="F119" t="str">
        <f>IFERROR(INDEX(tblProducts[正式名稱],MATCH(tblService[[#This Row],[服務SKU]],tblProducts[SKU],0)),"")</f>
        <v/>
      </c>
    </row>
    <row r="120" spans="4:6" ht="19.95" customHeight="1">
      <c r="D120" t="str">
        <f>IFERROR(INDEX(tblCRM[姓名／稱呼],MATCH(tblService[[#This Row],[客戶ID]],tblCRM[客戶ID],0)),"")</f>
        <v/>
      </c>
      <c r="F120" t="str">
        <f>IFERROR(INDEX(tblProducts[正式名稱],MATCH(tblService[[#This Row],[服務SKU]],tblProducts[SKU],0)),"")</f>
        <v/>
      </c>
    </row>
    <row r="121" spans="4:6" ht="19.95" customHeight="1">
      <c r="D121" t="str">
        <f>IFERROR(INDEX(tblCRM[姓名／稱呼],MATCH(tblService[[#This Row],[客戶ID]],tblCRM[客戶ID],0)),"")</f>
        <v/>
      </c>
      <c r="F121" t="str">
        <f>IFERROR(INDEX(tblProducts[正式名稱],MATCH(tblService[[#This Row],[服務SKU]],tblProducts[SKU],0)),"")</f>
        <v/>
      </c>
    </row>
    <row r="122" spans="4:6" ht="19.95" customHeight="1">
      <c r="D122" t="str">
        <f>IFERROR(INDEX(tblCRM[姓名／稱呼],MATCH(tblService[[#This Row],[客戶ID]],tblCRM[客戶ID],0)),"")</f>
        <v/>
      </c>
      <c r="F122" t="str">
        <f>IFERROR(INDEX(tblProducts[正式名稱],MATCH(tblService[[#This Row],[服務SKU]],tblProducts[SKU],0)),"")</f>
        <v/>
      </c>
    </row>
    <row r="123" spans="4:6" ht="19.95" customHeight="1">
      <c r="D123" t="str">
        <f>IFERROR(INDEX(tblCRM[姓名／稱呼],MATCH(tblService[[#This Row],[客戶ID]],tblCRM[客戶ID],0)),"")</f>
        <v/>
      </c>
      <c r="F123" t="str">
        <f>IFERROR(INDEX(tblProducts[正式名稱],MATCH(tblService[[#This Row],[服務SKU]],tblProducts[SKU],0)),"")</f>
        <v/>
      </c>
    </row>
    <row r="124" spans="4:6" ht="19.95" customHeight="1">
      <c r="D124" t="str">
        <f>IFERROR(INDEX(tblCRM[姓名／稱呼],MATCH(tblService[[#This Row],[客戶ID]],tblCRM[客戶ID],0)),"")</f>
        <v/>
      </c>
      <c r="F124" t="str">
        <f>IFERROR(INDEX(tblProducts[正式名稱],MATCH(tblService[[#This Row],[服務SKU]],tblProducts[SKU],0)),"")</f>
        <v/>
      </c>
    </row>
    <row r="125" spans="4:6" ht="19.95" customHeight="1">
      <c r="D125" t="str">
        <f>IFERROR(INDEX(tblCRM[姓名／稱呼],MATCH(tblService[[#This Row],[客戶ID]],tblCRM[客戶ID],0)),"")</f>
        <v/>
      </c>
      <c r="F125" t="str">
        <f>IFERROR(INDEX(tblProducts[正式名稱],MATCH(tblService[[#This Row],[服務SKU]],tblProducts[SKU],0)),"")</f>
        <v/>
      </c>
    </row>
    <row r="126" spans="4:6" ht="19.95" customHeight="1">
      <c r="D126" t="str">
        <f>IFERROR(INDEX(tblCRM[姓名／稱呼],MATCH(tblService[[#This Row],[客戶ID]],tblCRM[客戶ID],0)),"")</f>
        <v/>
      </c>
      <c r="F126" t="str">
        <f>IFERROR(INDEX(tblProducts[正式名稱],MATCH(tblService[[#This Row],[服務SKU]],tblProducts[SKU],0)),"")</f>
        <v/>
      </c>
    </row>
    <row r="127" spans="4:6" ht="19.95" customHeight="1">
      <c r="D127" t="str">
        <f>IFERROR(INDEX(tblCRM[姓名／稱呼],MATCH(tblService[[#This Row],[客戶ID]],tblCRM[客戶ID],0)),"")</f>
        <v/>
      </c>
      <c r="F127" t="str">
        <f>IFERROR(INDEX(tblProducts[正式名稱],MATCH(tblService[[#This Row],[服務SKU]],tblProducts[SKU],0)),"")</f>
        <v/>
      </c>
    </row>
    <row r="128" spans="4:6" ht="19.95" customHeight="1">
      <c r="D128" t="str">
        <f>IFERROR(INDEX(tblCRM[姓名／稱呼],MATCH(tblService[[#This Row],[客戶ID]],tblCRM[客戶ID],0)),"")</f>
        <v/>
      </c>
      <c r="F128" t="str">
        <f>IFERROR(INDEX(tblProducts[正式名稱],MATCH(tblService[[#This Row],[服務SKU]],tblProducts[SKU],0)),"")</f>
        <v/>
      </c>
    </row>
    <row r="129" spans="4:6" ht="19.95" customHeight="1">
      <c r="D129" t="str">
        <f>IFERROR(INDEX(tblCRM[姓名／稱呼],MATCH(tblService[[#This Row],[客戶ID]],tblCRM[客戶ID],0)),"")</f>
        <v/>
      </c>
      <c r="F129" t="str">
        <f>IFERROR(INDEX(tblProducts[正式名稱],MATCH(tblService[[#This Row],[服務SKU]],tblProducts[SKU],0)),"")</f>
        <v/>
      </c>
    </row>
    <row r="130" spans="4:6" ht="19.95" customHeight="1">
      <c r="D130" t="str">
        <f>IFERROR(INDEX(tblCRM[姓名／稱呼],MATCH(tblService[[#This Row],[客戶ID]],tblCRM[客戶ID],0)),"")</f>
        <v/>
      </c>
      <c r="F130" t="str">
        <f>IFERROR(INDEX(tblProducts[正式名稱],MATCH(tblService[[#This Row],[服務SKU]],tblProducts[SKU],0)),"")</f>
        <v/>
      </c>
    </row>
    <row r="131" spans="4:6" ht="19.95" customHeight="1">
      <c r="D131" t="str">
        <f>IFERROR(INDEX(tblCRM[姓名／稱呼],MATCH(tblService[[#This Row],[客戶ID]],tblCRM[客戶ID],0)),"")</f>
        <v/>
      </c>
      <c r="F131" t="str">
        <f>IFERROR(INDEX(tblProducts[正式名稱],MATCH(tblService[[#This Row],[服務SKU]],tblProducts[SKU],0)),"")</f>
        <v/>
      </c>
    </row>
    <row r="132" spans="4:6" ht="19.95" customHeight="1">
      <c r="D132" t="str">
        <f>IFERROR(INDEX(tblCRM[姓名／稱呼],MATCH(tblService[[#This Row],[客戶ID]],tblCRM[客戶ID],0)),"")</f>
        <v/>
      </c>
      <c r="F132" t="str">
        <f>IFERROR(INDEX(tblProducts[正式名稱],MATCH(tblService[[#This Row],[服務SKU]],tblProducts[SKU],0)),"")</f>
        <v/>
      </c>
    </row>
    <row r="133" spans="4:6" ht="19.95" customHeight="1">
      <c r="D133" t="str">
        <f>IFERROR(INDEX(tblCRM[姓名／稱呼],MATCH(tblService[[#This Row],[客戶ID]],tblCRM[客戶ID],0)),"")</f>
        <v/>
      </c>
      <c r="F133" t="str">
        <f>IFERROR(INDEX(tblProducts[正式名稱],MATCH(tblService[[#This Row],[服務SKU]],tblProducts[SKU],0)),"")</f>
        <v/>
      </c>
    </row>
    <row r="134" spans="4:6" ht="19.95" customHeight="1">
      <c r="D134" t="str">
        <f>IFERROR(INDEX(tblCRM[姓名／稱呼],MATCH(tblService[[#This Row],[客戶ID]],tblCRM[客戶ID],0)),"")</f>
        <v/>
      </c>
      <c r="F134" t="str">
        <f>IFERROR(INDEX(tblProducts[正式名稱],MATCH(tblService[[#This Row],[服務SKU]],tblProducts[SKU],0)),"")</f>
        <v/>
      </c>
    </row>
    <row r="135" spans="4:6" ht="19.95" customHeight="1">
      <c r="D135" t="str">
        <f>IFERROR(INDEX(tblCRM[姓名／稱呼],MATCH(tblService[[#This Row],[客戶ID]],tblCRM[客戶ID],0)),"")</f>
        <v/>
      </c>
      <c r="F135" t="str">
        <f>IFERROR(INDEX(tblProducts[正式名稱],MATCH(tblService[[#This Row],[服務SKU]],tblProducts[SKU],0)),"")</f>
        <v/>
      </c>
    </row>
    <row r="136" spans="4:6" ht="19.95" customHeight="1">
      <c r="D136" t="str">
        <f>IFERROR(INDEX(tblCRM[姓名／稱呼],MATCH(tblService[[#This Row],[客戶ID]],tblCRM[客戶ID],0)),"")</f>
        <v/>
      </c>
      <c r="F136" t="str">
        <f>IFERROR(INDEX(tblProducts[正式名稱],MATCH(tblService[[#This Row],[服務SKU]],tblProducts[SKU],0)),"")</f>
        <v/>
      </c>
    </row>
    <row r="137" spans="4:6" ht="19.95" customHeight="1">
      <c r="D137" t="str">
        <f>IFERROR(INDEX(tblCRM[姓名／稱呼],MATCH(tblService[[#This Row],[客戶ID]],tblCRM[客戶ID],0)),"")</f>
        <v/>
      </c>
      <c r="F137" t="str">
        <f>IFERROR(INDEX(tblProducts[正式名稱],MATCH(tblService[[#This Row],[服務SKU]],tblProducts[SKU],0)),"")</f>
        <v/>
      </c>
    </row>
    <row r="138" spans="4:6" ht="19.95" customHeight="1">
      <c r="D138" t="str">
        <f>IFERROR(INDEX(tblCRM[姓名／稱呼],MATCH(tblService[[#This Row],[客戶ID]],tblCRM[客戶ID],0)),"")</f>
        <v/>
      </c>
      <c r="F138" t="str">
        <f>IFERROR(INDEX(tblProducts[正式名稱],MATCH(tblService[[#This Row],[服務SKU]],tblProducts[SKU],0)),"")</f>
        <v/>
      </c>
    </row>
    <row r="139" spans="4:6" ht="19.95" customHeight="1">
      <c r="D139" t="str">
        <f>IFERROR(INDEX(tblCRM[姓名／稱呼],MATCH(tblService[[#This Row],[客戶ID]],tblCRM[客戶ID],0)),"")</f>
        <v/>
      </c>
      <c r="F139" t="str">
        <f>IFERROR(INDEX(tblProducts[正式名稱],MATCH(tblService[[#This Row],[服務SKU]],tblProducts[SKU],0)),"")</f>
        <v/>
      </c>
    </row>
    <row r="140" spans="4:6" ht="19.95" customHeight="1">
      <c r="D140" t="str">
        <f>IFERROR(INDEX(tblCRM[姓名／稱呼],MATCH(tblService[[#This Row],[客戶ID]],tblCRM[客戶ID],0)),"")</f>
        <v/>
      </c>
      <c r="F140" t="str">
        <f>IFERROR(INDEX(tblProducts[正式名稱],MATCH(tblService[[#This Row],[服務SKU]],tblProducts[SKU],0)),"")</f>
        <v/>
      </c>
    </row>
    <row r="141" spans="4:6" ht="19.95" customHeight="1">
      <c r="D141" t="str">
        <f>IFERROR(INDEX(tblCRM[姓名／稱呼],MATCH(tblService[[#This Row],[客戶ID]],tblCRM[客戶ID],0)),"")</f>
        <v/>
      </c>
      <c r="F141" t="str">
        <f>IFERROR(INDEX(tblProducts[正式名稱],MATCH(tblService[[#This Row],[服務SKU]],tblProducts[SKU],0)),"")</f>
        <v/>
      </c>
    </row>
    <row r="142" spans="4:6" ht="19.95" customHeight="1">
      <c r="D142" t="str">
        <f>IFERROR(INDEX(tblCRM[姓名／稱呼],MATCH(tblService[[#This Row],[客戶ID]],tblCRM[客戶ID],0)),"")</f>
        <v/>
      </c>
      <c r="F142" t="str">
        <f>IFERROR(INDEX(tblProducts[正式名稱],MATCH(tblService[[#This Row],[服務SKU]],tblProducts[SKU],0)),"")</f>
        <v/>
      </c>
    </row>
    <row r="143" spans="4:6" ht="19.95" customHeight="1">
      <c r="D143" t="str">
        <f>IFERROR(INDEX(tblCRM[姓名／稱呼],MATCH(tblService[[#This Row],[客戶ID]],tblCRM[客戶ID],0)),"")</f>
        <v/>
      </c>
      <c r="F143" t="str">
        <f>IFERROR(INDEX(tblProducts[正式名稱],MATCH(tblService[[#This Row],[服務SKU]],tblProducts[SKU],0)),"")</f>
        <v/>
      </c>
    </row>
    <row r="144" spans="4:6" ht="19.95" customHeight="1">
      <c r="D144" t="str">
        <f>IFERROR(INDEX(tblCRM[姓名／稱呼],MATCH(tblService[[#This Row],[客戶ID]],tblCRM[客戶ID],0)),"")</f>
        <v/>
      </c>
      <c r="F144" t="str">
        <f>IFERROR(INDEX(tblProducts[正式名稱],MATCH(tblService[[#This Row],[服務SKU]],tblProducts[SKU],0)),"")</f>
        <v/>
      </c>
    </row>
    <row r="145" spans="4:6" ht="19.95" customHeight="1">
      <c r="D145" t="str">
        <f>IFERROR(INDEX(tblCRM[姓名／稱呼],MATCH(tblService[[#This Row],[客戶ID]],tblCRM[客戶ID],0)),"")</f>
        <v/>
      </c>
      <c r="F145" t="str">
        <f>IFERROR(INDEX(tblProducts[正式名稱],MATCH(tblService[[#This Row],[服務SKU]],tblProducts[SKU],0)),"")</f>
        <v/>
      </c>
    </row>
    <row r="146" spans="4:6" ht="19.95" customHeight="1">
      <c r="D146" t="str">
        <f>IFERROR(INDEX(tblCRM[姓名／稱呼],MATCH(tblService[[#This Row],[客戶ID]],tblCRM[客戶ID],0)),"")</f>
        <v/>
      </c>
      <c r="F146" t="str">
        <f>IFERROR(INDEX(tblProducts[正式名稱],MATCH(tblService[[#This Row],[服務SKU]],tblProducts[SKU],0)),"")</f>
        <v/>
      </c>
    </row>
    <row r="147" spans="4:6" ht="19.95" customHeight="1">
      <c r="D147" t="str">
        <f>IFERROR(INDEX(tblCRM[姓名／稱呼],MATCH(tblService[[#This Row],[客戶ID]],tblCRM[客戶ID],0)),"")</f>
        <v/>
      </c>
      <c r="F147" t="str">
        <f>IFERROR(INDEX(tblProducts[正式名稱],MATCH(tblService[[#This Row],[服務SKU]],tblProducts[SKU],0)),"")</f>
        <v/>
      </c>
    </row>
    <row r="148" spans="4:6" ht="19.95" customHeight="1">
      <c r="D148" t="str">
        <f>IFERROR(INDEX(tblCRM[姓名／稱呼],MATCH(tblService[[#This Row],[客戶ID]],tblCRM[客戶ID],0)),"")</f>
        <v/>
      </c>
      <c r="F148" t="str">
        <f>IFERROR(INDEX(tblProducts[正式名稱],MATCH(tblService[[#This Row],[服務SKU]],tblProducts[SKU],0)),"")</f>
        <v/>
      </c>
    </row>
    <row r="149" spans="4:6" ht="19.95" customHeight="1">
      <c r="D149" t="str">
        <f>IFERROR(INDEX(tblCRM[姓名／稱呼],MATCH(tblService[[#This Row],[客戶ID]],tblCRM[客戶ID],0)),"")</f>
        <v/>
      </c>
      <c r="F149" t="str">
        <f>IFERROR(INDEX(tblProducts[正式名稱],MATCH(tblService[[#This Row],[服務SKU]],tblProducts[SKU],0)),"")</f>
        <v/>
      </c>
    </row>
    <row r="150" spans="4:6" ht="19.95" customHeight="1">
      <c r="D150" t="str">
        <f>IFERROR(INDEX(tblCRM[姓名／稱呼],MATCH(tblService[[#This Row],[客戶ID]],tblCRM[客戶ID],0)),"")</f>
        <v/>
      </c>
      <c r="F150" t="str">
        <f>IFERROR(INDEX(tblProducts[正式名稱],MATCH(tblService[[#This Row],[服務SKU]],tblProducts[SKU],0)),"")</f>
        <v/>
      </c>
    </row>
    <row r="151" spans="4:6" ht="19.95" customHeight="1">
      <c r="D151" t="str">
        <f>IFERROR(INDEX(tblCRM[姓名／稱呼],MATCH(tblService[[#This Row],[客戶ID]],tblCRM[客戶ID],0)),"")</f>
        <v/>
      </c>
      <c r="F151" t="str">
        <f>IFERROR(INDEX(tblProducts[正式名稱],MATCH(tblService[[#This Row],[服務SKU]],tblProducts[SKU],0)),"")</f>
        <v/>
      </c>
    </row>
    <row r="152" spans="4:6" ht="19.95" customHeight="1">
      <c r="D152" t="str">
        <f>IFERROR(INDEX(tblCRM[姓名／稱呼],MATCH(tblService[[#This Row],[客戶ID]],tblCRM[客戶ID],0)),"")</f>
        <v/>
      </c>
      <c r="F152" t="str">
        <f>IFERROR(INDEX(tblProducts[正式名稱],MATCH(tblService[[#This Row],[服務SKU]],tblProducts[SKU],0)),"")</f>
        <v/>
      </c>
    </row>
    <row r="153" spans="4:6" ht="19.95" customHeight="1">
      <c r="D153" t="str">
        <f>IFERROR(INDEX(tblCRM[姓名／稱呼],MATCH(tblService[[#This Row],[客戶ID]],tblCRM[客戶ID],0)),"")</f>
        <v/>
      </c>
      <c r="F153" t="str">
        <f>IFERROR(INDEX(tblProducts[正式名稱],MATCH(tblService[[#This Row],[服務SKU]],tblProducts[SKU],0)),"")</f>
        <v/>
      </c>
    </row>
    <row r="154" spans="4:6" ht="19.95" customHeight="1">
      <c r="D154" t="str">
        <f>IFERROR(INDEX(tblCRM[姓名／稱呼],MATCH(tblService[[#This Row],[客戶ID]],tblCRM[客戶ID],0)),"")</f>
        <v/>
      </c>
      <c r="F154" t="str">
        <f>IFERROR(INDEX(tblProducts[正式名稱],MATCH(tblService[[#This Row],[服務SKU]],tblProducts[SKU],0)),"")</f>
        <v/>
      </c>
    </row>
    <row r="155" spans="4:6" ht="19.95" customHeight="1">
      <c r="D155" t="str">
        <f>IFERROR(INDEX(tblCRM[姓名／稱呼],MATCH(tblService[[#This Row],[客戶ID]],tblCRM[客戶ID],0)),"")</f>
        <v/>
      </c>
      <c r="F155" t="str">
        <f>IFERROR(INDEX(tblProducts[正式名稱],MATCH(tblService[[#This Row],[服務SKU]],tblProducts[SKU],0)),"")</f>
        <v/>
      </c>
    </row>
    <row r="156" spans="4:6" ht="19.95" customHeight="1">
      <c r="D156" t="str">
        <f>IFERROR(INDEX(tblCRM[姓名／稱呼],MATCH(tblService[[#This Row],[客戶ID]],tblCRM[客戶ID],0)),"")</f>
        <v/>
      </c>
      <c r="F156" t="str">
        <f>IFERROR(INDEX(tblProducts[正式名稱],MATCH(tblService[[#This Row],[服務SKU]],tblProducts[SKU],0)),"")</f>
        <v/>
      </c>
    </row>
    <row r="157" spans="4:6" ht="19.95" customHeight="1">
      <c r="D157" t="str">
        <f>IFERROR(INDEX(tblCRM[姓名／稱呼],MATCH(tblService[[#This Row],[客戶ID]],tblCRM[客戶ID],0)),"")</f>
        <v/>
      </c>
      <c r="F157" t="str">
        <f>IFERROR(INDEX(tblProducts[正式名稱],MATCH(tblService[[#This Row],[服務SKU]],tblProducts[SKU],0)),"")</f>
        <v/>
      </c>
    </row>
    <row r="158" spans="4:6" ht="19.95" customHeight="1">
      <c r="D158" t="str">
        <f>IFERROR(INDEX(tblCRM[姓名／稱呼],MATCH(tblService[[#This Row],[客戶ID]],tblCRM[客戶ID],0)),"")</f>
        <v/>
      </c>
      <c r="F158" t="str">
        <f>IFERROR(INDEX(tblProducts[正式名稱],MATCH(tblService[[#This Row],[服務SKU]],tblProducts[SKU],0)),"")</f>
        <v/>
      </c>
    </row>
    <row r="159" spans="4:6" ht="19.95" customHeight="1">
      <c r="D159" t="str">
        <f>IFERROR(INDEX(tblCRM[姓名／稱呼],MATCH(tblService[[#This Row],[客戶ID]],tblCRM[客戶ID],0)),"")</f>
        <v/>
      </c>
      <c r="F159" t="str">
        <f>IFERROR(INDEX(tblProducts[正式名稱],MATCH(tblService[[#This Row],[服務SKU]],tblProducts[SKU],0)),"")</f>
        <v/>
      </c>
    </row>
    <row r="160" spans="4:6" ht="19.95" customHeight="1">
      <c r="D160" t="str">
        <f>IFERROR(INDEX(tblCRM[姓名／稱呼],MATCH(tblService[[#This Row],[客戶ID]],tblCRM[客戶ID],0)),"")</f>
        <v/>
      </c>
      <c r="F160" t="str">
        <f>IFERROR(INDEX(tblProducts[正式名稱],MATCH(tblService[[#This Row],[服務SKU]],tblProducts[SKU],0)),"")</f>
        <v/>
      </c>
    </row>
    <row r="161" spans="4:6" ht="19.95" customHeight="1">
      <c r="D161" t="str">
        <f>IFERROR(INDEX(tblCRM[姓名／稱呼],MATCH(tblService[[#This Row],[客戶ID]],tblCRM[客戶ID],0)),"")</f>
        <v/>
      </c>
      <c r="F161" t="str">
        <f>IFERROR(INDEX(tblProducts[正式名稱],MATCH(tblService[[#This Row],[服務SKU]],tblProducts[SKU],0)),"")</f>
        <v/>
      </c>
    </row>
    <row r="162" spans="4:6" ht="19.95" customHeight="1">
      <c r="D162" t="str">
        <f>IFERROR(INDEX(tblCRM[姓名／稱呼],MATCH(tblService[[#This Row],[客戶ID]],tblCRM[客戶ID],0)),"")</f>
        <v/>
      </c>
      <c r="F162" t="str">
        <f>IFERROR(INDEX(tblProducts[正式名稱],MATCH(tblService[[#This Row],[服務SKU]],tblProducts[SKU],0)),"")</f>
        <v/>
      </c>
    </row>
    <row r="163" spans="4:6" ht="19.95" customHeight="1">
      <c r="D163" t="str">
        <f>IFERROR(INDEX(tblCRM[姓名／稱呼],MATCH(tblService[[#This Row],[客戶ID]],tblCRM[客戶ID],0)),"")</f>
        <v/>
      </c>
      <c r="F163" t="str">
        <f>IFERROR(INDEX(tblProducts[正式名稱],MATCH(tblService[[#This Row],[服務SKU]],tblProducts[SKU],0)),"")</f>
        <v/>
      </c>
    </row>
    <row r="164" spans="4:6" ht="19.95" customHeight="1">
      <c r="D164" t="str">
        <f>IFERROR(INDEX(tblCRM[姓名／稱呼],MATCH(tblService[[#This Row],[客戶ID]],tblCRM[客戶ID],0)),"")</f>
        <v/>
      </c>
      <c r="F164" t="str">
        <f>IFERROR(INDEX(tblProducts[正式名稱],MATCH(tblService[[#This Row],[服務SKU]],tblProducts[SKU],0)),"")</f>
        <v/>
      </c>
    </row>
    <row r="165" spans="4:6" ht="19.95" customHeight="1">
      <c r="D165" t="str">
        <f>IFERROR(INDEX(tblCRM[姓名／稱呼],MATCH(tblService[[#This Row],[客戶ID]],tblCRM[客戶ID],0)),"")</f>
        <v/>
      </c>
      <c r="F165" t="str">
        <f>IFERROR(INDEX(tblProducts[正式名稱],MATCH(tblService[[#This Row],[服務SKU]],tblProducts[SKU],0)),"")</f>
        <v/>
      </c>
    </row>
    <row r="166" spans="4:6" ht="19.95" customHeight="1">
      <c r="D166" t="str">
        <f>IFERROR(INDEX(tblCRM[姓名／稱呼],MATCH(tblService[[#This Row],[客戶ID]],tblCRM[客戶ID],0)),"")</f>
        <v/>
      </c>
      <c r="F166" t="str">
        <f>IFERROR(INDEX(tblProducts[正式名稱],MATCH(tblService[[#This Row],[服務SKU]],tblProducts[SKU],0)),"")</f>
        <v/>
      </c>
    </row>
    <row r="167" spans="4:6" ht="19.95" customHeight="1">
      <c r="D167" t="str">
        <f>IFERROR(INDEX(tblCRM[姓名／稱呼],MATCH(tblService[[#This Row],[客戶ID]],tblCRM[客戶ID],0)),"")</f>
        <v/>
      </c>
      <c r="F167" t="str">
        <f>IFERROR(INDEX(tblProducts[正式名稱],MATCH(tblService[[#This Row],[服務SKU]],tblProducts[SKU],0)),"")</f>
        <v/>
      </c>
    </row>
    <row r="168" spans="4:6" ht="19.95" customHeight="1">
      <c r="D168" t="str">
        <f>IFERROR(INDEX(tblCRM[姓名／稱呼],MATCH(tblService[[#This Row],[客戶ID]],tblCRM[客戶ID],0)),"")</f>
        <v/>
      </c>
      <c r="F168" t="str">
        <f>IFERROR(INDEX(tblProducts[正式名稱],MATCH(tblService[[#This Row],[服務SKU]],tblProducts[SKU],0)),"")</f>
        <v/>
      </c>
    </row>
    <row r="169" spans="4:6" ht="19.95" customHeight="1">
      <c r="D169" t="str">
        <f>IFERROR(INDEX(tblCRM[姓名／稱呼],MATCH(tblService[[#This Row],[客戶ID]],tblCRM[客戶ID],0)),"")</f>
        <v/>
      </c>
      <c r="F169" t="str">
        <f>IFERROR(INDEX(tblProducts[正式名稱],MATCH(tblService[[#This Row],[服務SKU]],tblProducts[SKU],0)),"")</f>
        <v/>
      </c>
    </row>
    <row r="170" spans="4:6" ht="19.95" customHeight="1">
      <c r="D170" t="str">
        <f>IFERROR(INDEX(tblCRM[姓名／稱呼],MATCH(tblService[[#This Row],[客戶ID]],tblCRM[客戶ID],0)),"")</f>
        <v/>
      </c>
      <c r="F170" t="str">
        <f>IFERROR(INDEX(tblProducts[正式名稱],MATCH(tblService[[#This Row],[服務SKU]],tblProducts[SKU],0)),"")</f>
        <v/>
      </c>
    </row>
    <row r="171" spans="4:6" ht="19.95" customHeight="1">
      <c r="D171" t="str">
        <f>IFERROR(INDEX(tblCRM[姓名／稱呼],MATCH(tblService[[#This Row],[客戶ID]],tblCRM[客戶ID],0)),"")</f>
        <v/>
      </c>
      <c r="F171" t="str">
        <f>IFERROR(INDEX(tblProducts[正式名稱],MATCH(tblService[[#This Row],[服務SKU]],tblProducts[SKU],0)),"")</f>
        <v/>
      </c>
    </row>
    <row r="172" spans="4:6" ht="19.95" customHeight="1">
      <c r="D172" t="str">
        <f>IFERROR(INDEX(tblCRM[姓名／稱呼],MATCH(tblService[[#This Row],[客戶ID]],tblCRM[客戶ID],0)),"")</f>
        <v/>
      </c>
      <c r="F172" t="str">
        <f>IFERROR(INDEX(tblProducts[正式名稱],MATCH(tblService[[#This Row],[服務SKU]],tblProducts[SKU],0)),"")</f>
        <v/>
      </c>
    </row>
    <row r="173" spans="4:6" ht="19.95" customHeight="1">
      <c r="D173" t="str">
        <f>IFERROR(INDEX(tblCRM[姓名／稱呼],MATCH(tblService[[#This Row],[客戶ID]],tblCRM[客戶ID],0)),"")</f>
        <v/>
      </c>
      <c r="F173" t="str">
        <f>IFERROR(INDEX(tblProducts[正式名稱],MATCH(tblService[[#This Row],[服務SKU]],tblProducts[SKU],0)),"")</f>
        <v/>
      </c>
    </row>
    <row r="174" spans="4:6" ht="19.95" customHeight="1">
      <c r="D174" t="str">
        <f>IFERROR(INDEX(tblCRM[姓名／稱呼],MATCH(tblService[[#This Row],[客戶ID]],tblCRM[客戶ID],0)),"")</f>
        <v/>
      </c>
      <c r="F174" t="str">
        <f>IFERROR(INDEX(tblProducts[正式名稱],MATCH(tblService[[#This Row],[服務SKU]],tblProducts[SKU],0)),"")</f>
        <v/>
      </c>
    </row>
    <row r="175" spans="4:6" ht="19.95" customHeight="1">
      <c r="D175" t="str">
        <f>IFERROR(INDEX(tblCRM[姓名／稱呼],MATCH(tblService[[#This Row],[客戶ID]],tblCRM[客戶ID],0)),"")</f>
        <v/>
      </c>
      <c r="F175" t="str">
        <f>IFERROR(INDEX(tblProducts[正式名稱],MATCH(tblService[[#This Row],[服務SKU]],tblProducts[SKU],0)),"")</f>
        <v/>
      </c>
    </row>
    <row r="176" spans="4:6" ht="19.95" customHeight="1">
      <c r="D176" t="str">
        <f>IFERROR(INDEX(tblCRM[姓名／稱呼],MATCH(tblService[[#This Row],[客戶ID]],tblCRM[客戶ID],0)),"")</f>
        <v/>
      </c>
      <c r="F176" t="str">
        <f>IFERROR(INDEX(tblProducts[正式名稱],MATCH(tblService[[#This Row],[服務SKU]],tblProducts[SKU],0)),"")</f>
        <v/>
      </c>
    </row>
    <row r="177" spans="4:6" ht="19.95" customHeight="1">
      <c r="D177" t="str">
        <f>IFERROR(INDEX(tblCRM[姓名／稱呼],MATCH(tblService[[#This Row],[客戶ID]],tblCRM[客戶ID],0)),"")</f>
        <v/>
      </c>
      <c r="F177" t="str">
        <f>IFERROR(INDEX(tblProducts[正式名稱],MATCH(tblService[[#This Row],[服務SKU]],tblProducts[SKU],0)),"")</f>
        <v/>
      </c>
    </row>
    <row r="178" spans="4:6" ht="19.95" customHeight="1">
      <c r="D178" t="str">
        <f>IFERROR(INDEX(tblCRM[姓名／稱呼],MATCH(tblService[[#This Row],[客戶ID]],tblCRM[客戶ID],0)),"")</f>
        <v/>
      </c>
      <c r="F178" t="str">
        <f>IFERROR(INDEX(tblProducts[正式名稱],MATCH(tblService[[#This Row],[服務SKU]],tblProducts[SKU],0)),"")</f>
        <v/>
      </c>
    </row>
    <row r="179" spans="4:6" ht="19.95" customHeight="1">
      <c r="D179" t="str">
        <f>IFERROR(INDEX(tblCRM[姓名／稱呼],MATCH(tblService[[#This Row],[客戶ID]],tblCRM[客戶ID],0)),"")</f>
        <v/>
      </c>
      <c r="F179" t="str">
        <f>IFERROR(INDEX(tblProducts[正式名稱],MATCH(tblService[[#This Row],[服務SKU]],tblProducts[SKU],0)),"")</f>
        <v/>
      </c>
    </row>
    <row r="180" spans="4:6" ht="19.95" customHeight="1">
      <c r="D180" t="str">
        <f>IFERROR(INDEX(tblCRM[姓名／稱呼],MATCH(tblService[[#This Row],[客戶ID]],tblCRM[客戶ID],0)),"")</f>
        <v/>
      </c>
      <c r="F180" t="str">
        <f>IFERROR(INDEX(tblProducts[正式名稱],MATCH(tblService[[#This Row],[服務SKU]],tblProducts[SKU],0)),"")</f>
        <v/>
      </c>
    </row>
    <row r="181" spans="4:6" ht="19.95" customHeight="1">
      <c r="D181" t="str">
        <f>IFERROR(INDEX(tblCRM[姓名／稱呼],MATCH(tblService[[#This Row],[客戶ID]],tblCRM[客戶ID],0)),"")</f>
        <v/>
      </c>
      <c r="F181" t="str">
        <f>IFERROR(INDEX(tblProducts[正式名稱],MATCH(tblService[[#This Row],[服務SKU]],tblProducts[SKU],0)),"")</f>
        <v/>
      </c>
    </row>
    <row r="182" spans="4:6" ht="19.95" customHeight="1">
      <c r="D182" t="str">
        <f>IFERROR(INDEX(tblCRM[姓名／稱呼],MATCH(tblService[[#This Row],[客戶ID]],tblCRM[客戶ID],0)),"")</f>
        <v/>
      </c>
      <c r="F182" t="str">
        <f>IFERROR(INDEX(tblProducts[正式名稱],MATCH(tblService[[#This Row],[服務SKU]],tblProducts[SKU],0)),"")</f>
        <v/>
      </c>
    </row>
    <row r="183" spans="4:6" ht="19.95" customHeight="1">
      <c r="D183" t="str">
        <f>IFERROR(INDEX(tblCRM[姓名／稱呼],MATCH(tblService[[#This Row],[客戶ID]],tblCRM[客戶ID],0)),"")</f>
        <v/>
      </c>
      <c r="F183" t="str">
        <f>IFERROR(INDEX(tblProducts[正式名稱],MATCH(tblService[[#This Row],[服務SKU]],tblProducts[SKU],0)),"")</f>
        <v/>
      </c>
    </row>
    <row r="184" spans="4:6" ht="19.95" customHeight="1">
      <c r="D184" t="str">
        <f>IFERROR(INDEX(tblCRM[姓名／稱呼],MATCH(tblService[[#This Row],[客戶ID]],tblCRM[客戶ID],0)),"")</f>
        <v/>
      </c>
      <c r="F184" t="str">
        <f>IFERROR(INDEX(tblProducts[正式名稱],MATCH(tblService[[#This Row],[服務SKU]],tblProducts[SKU],0)),"")</f>
        <v/>
      </c>
    </row>
    <row r="185" spans="4:6" ht="19.95" customHeight="1">
      <c r="D185" t="str">
        <f>IFERROR(INDEX(tblCRM[姓名／稱呼],MATCH(tblService[[#This Row],[客戶ID]],tblCRM[客戶ID],0)),"")</f>
        <v/>
      </c>
      <c r="F185" t="str">
        <f>IFERROR(INDEX(tblProducts[正式名稱],MATCH(tblService[[#This Row],[服務SKU]],tblProducts[SKU],0)),"")</f>
        <v/>
      </c>
    </row>
    <row r="186" spans="4:6" ht="19.95" customHeight="1">
      <c r="D186" t="str">
        <f>IFERROR(INDEX(tblCRM[姓名／稱呼],MATCH(tblService[[#This Row],[客戶ID]],tblCRM[客戶ID],0)),"")</f>
        <v/>
      </c>
      <c r="F186" t="str">
        <f>IFERROR(INDEX(tblProducts[正式名稱],MATCH(tblService[[#This Row],[服務SKU]],tblProducts[SKU],0)),"")</f>
        <v/>
      </c>
    </row>
    <row r="187" spans="4:6" ht="19.95" customHeight="1">
      <c r="D187" t="str">
        <f>IFERROR(INDEX(tblCRM[姓名／稱呼],MATCH(tblService[[#This Row],[客戶ID]],tblCRM[客戶ID],0)),"")</f>
        <v/>
      </c>
      <c r="F187" t="str">
        <f>IFERROR(INDEX(tblProducts[正式名稱],MATCH(tblService[[#This Row],[服務SKU]],tblProducts[SKU],0)),"")</f>
        <v/>
      </c>
    </row>
    <row r="188" spans="4:6" ht="19.95" customHeight="1">
      <c r="D188" t="str">
        <f>IFERROR(INDEX(tblCRM[姓名／稱呼],MATCH(tblService[[#This Row],[客戶ID]],tblCRM[客戶ID],0)),"")</f>
        <v/>
      </c>
      <c r="F188" t="str">
        <f>IFERROR(INDEX(tblProducts[正式名稱],MATCH(tblService[[#This Row],[服務SKU]],tblProducts[SKU],0)),"")</f>
        <v/>
      </c>
    </row>
    <row r="189" spans="4:6" ht="19.95" customHeight="1">
      <c r="D189" t="str">
        <f>IFERROR(INDEX(tblCRM[姓名／稱呼],MATCH(tblService[[#This Row],[客戶ID]],tblCRM[客戶ID],0)),"")</f>
        <v/>
      </c>
      <c r="F189" t="str">
        <f>IFERROR(INDEX(tblProducts[正式名稱],MATCH(tblService[[#This Row],[服務SKU]],tblProducts[SKU],0)),"")</f>
        <v/>
      </c>
    </row>
    <row r="190" spans="4:6" ht="19.95" customHeight="1">
      <c r="D190" t="str">
        <f>IFERROR(INDEX(tblCRM[姓名／稱呼],MATCH(tblService[[#This Row],[客戶ID]],tblCRM[客戶ID],0)),"")</f>
        <v/>
      </c>
      <c r="F190" t="str">
        <f>IFERROR(INDEX(tblProducts[正式名稱],MATCH(tblService[[#This Row],[服務SKU]],tblProducts[SKU],0)),"")</f>
        <v/>
      </c>
    </row>
    <row r="191" spans="4:6" ht="19.95" customHeight="1">
      <c r="D191" t="str">
        <f>IFERROR(INDEX(tblCRM[姓名／稱呼],MATCH(tblService[[#This Row],[客戶ID]],tblCRM[客戶ID],0)),"")</f>
        <v/>
      </c>
      <c r="F191" t="str">
        <f>IFERROR(INDEX(tblProducts[正式名稱],MATCH(tblService[[#This Row],[服務SKU]],tblProducts[SKU],0)),"")</f>
        <v/>
      </c>
    </row>
    <row r="192" spans="4:6" ht="19.95" customHeight="1">
      <c r="D192" t="str">
        <f>IFERROR(INDEX(tblCRM[姓名／稱呼],MATCH(tblService[[#This Row],[客戶ID]],tblCRM[客戶ID],0)),"")</f>
        <v/>
      </c>
      <c r="F192" t="str">
        <f>IFERROR(INDEX(tblProducts[正式名稱],MATCH(tblService[[#This Row],[服務SKU]],tblProducts[SKU],0)),"")</f>
        <v/>
      </c>
    </row>
    <row r="193" spans="4:6" ht="19.95" customHeight="1">
      <c r="D193" t="str">
        <f>IFERROR(INDEX(tblCRM[姓名／稱呼],MATCH(tblService[[#This Row],[客戶ID]],tblCRM[客戶ID],0)),"")</f>
        <v/>
      </c>
      <c r="F193" t="str">
        <f>IFERROR(INDEX(tblProducts[正式名稱],MATCH(tblService[[#This Row],[服務SKU]],tblProducts[SKU],0)),"")</f>
        <v/>
      </c>
    </row>
    <row r="194" spans="4:6" ht="19.95" customHeight="1">
      <c r="D194" t="str">
        <f>IFERROR(INDEX(tblCRM[姓名／稱呼],MATCH(tblService[[#This Row],[客戶ID]],tblCRM[客戶ID],0)),"")</f>
        <v/>
      </c>
      <c r="F194" t="str">
        <f>IFERROR(INDEX(tblProducts[正式名稱],MATCH(tblService[[#This Row],[服務SKU]],tblProducts[SKU],0)),"")</f>
        <v/>
      </c>
    </row>
    <row r="195" spans="4:6" ht="19.95" customHeight="1">
      <c r="D195" t="str">
        <f>IFERROR(INDEX(tblCRM[姓名／稱呼],MATCH(tblService[[#This Row],[客戶ID]],tblCRM[客戶ID],0)),"")</f>
        <v/>
      </c>
      <c r="F195" t="str">
        <f>IFERROR(INDEX(tblProducts[正式名稱],MATCH(tblService[[#This Row],[服務SKU]],tblProducts[SKU],0)),"")</f>
        <v/>
      </c>
    </row>
    <row r="196" spans="4:6" ht="19.95" customHeight="1">
      <c r="D196" t="str">
        <f>IFERROR(INDEX(tblCRM[姓名／稱呼],MATCH(tblService[[#This Row],[客戶ID]],tblCRM[客戶ID],0)),"")</f>
        <v/>
      </c>
      <c r="F196" t="str">
        <f>IFERROR(INDEX(tblProducts[正式名稱],MATCH(tblService[[#This Row],[服務SKU]],tblProducts[SKU],0)),"")</f>
        <v/>
      </c>
    </row>
    <row r="197" spans="4:6" ht="19.95" customHeight="1">
      <c r="D197" t="str">
        <f>IFERROR(INDEX(tblCRM[姓名／稱呼],MATCH(tblService[[#This Row],[客戶ID]],tblCRM[客戶ID],0)),"")</f>
        <v/>
      </c>
      <c r="F197" t="str">
        <f>IFERROR(INDEX(tblProducts[正式名稱],MATCH(tblService[[#This Row],[服務SKU]],tblProducts[SKU],0)),"")</f>
        <v/>
      </c>
    </row>
    <row r="198" spans="4:6" ht="19.95" customHeight="1">
      <c r="D198" t="str">
        <f>IFERROR(INDEX(tblCRM[姓名／稱呼],MATCH(tblService[[#This Row],[客戶ID]],tblCRM[客戶ID],0)),"")</f>
        <v/>
      </c>
      <c r="F198" t="str">
        <f>IFERROR(INDEX(tblProducts[正式名稱],MATCH(tblService[[#This Row],[服務SKU]],tblProducts[SKU],0)),"")</f>
        <v/>
      </c>
    </row>
    <row r="199" spans="4:6" ht="19.95" customHeight="1">
      <c r="D199" t="str">
        <f>IFERROR(INDEX(tblCRM[姓名／稱呼],MATCH(tblService[[#This Row],[客戶ID]],tblCRM[客戶ID],0)),"")</f>
        <v/>
      </c>
      <c r="F199" t="str">
        <f>IFERROR(INDEX(tblProducts[正式名稱],MATCH(tblService[[#This Row],[服務SKU]],tblProducts[SKU],0)),"")</f>
        <v/>
      </c>
    </row>
    <row r="200" spans="4:6" ht="19.95" customHeight="1">
      <c r="D200" t="str">
        <f>IFERROR(INDEX(tblCRM[姓名／稱呼],MATCH(tblService[[#This Row],[客戶ID]],tblCRM[客戶ID],0)),"")</f>
        <v/>
      </c>
      <c r="F200" t="str">
        <f>IFERROR(INDEX(tblProducts[正式名稱],MATCH(tblService[[#This Row],[服務SKU]],tblProducts[SKU],0)),"")</f>
        <v/>
      </c>
    </row>
    <row r="201" spans="4:6" ht="19.95" customHeight="1">
      <c r="D201" t="str">
        <f>IFERROR(INDEX(tblCRM[姓名／稱呼],MATCH(tblService[[#This Row],[客戶ID]],tblCRM[客戶ID],0)),"")</f>
        <v/>
      </c>
      <c r="F201" t="str">
        <f>IFERROR(INDEX(tblProducts[正式名稱],MATCH(tblService[[#This Row],[服務SKU]],tblProducts[SKU],0)),"")</f>
        <v/>
      </c>
    </row>
    <row r="202" spans="4:6" ht="19.95" customHeight="1">
      <c r="D202" t="str">
        <f>IFERROR(INDEX(tblCRM[姓名／稱呼],MATCH(tblService[[#This Row],[客戶ID]],tblCRM[客戶ID],0)),"")</f>
        <v/>
      </c>
      <c r="F202" t="str">
        <f>IFERROR(INDEX(tblProducts[正式名稱],MATCH(tblService[[#This Row],[服務SKU]],tblProducts[SKU],0)),"")</f>
        <v/>
      </c>
    </row>
    <row r="203" spans="4:6" ht="19.95" customHeight="1">
      <c r="D203" t="str">
        <f>IFERROR(INDEX(tblCRM[姓名／稱呼],MATCH(tblService[[#This Row],[客戶ID]],tblCRM[客戶ID],0)),"")</f>
        <v/>
      </c>
      <c r="F203" t="str">
        <f>IFERROR(INDEX(tblProducts[正式名稱],MATCH(tblService[[#This Row],[服務SKU]],tblProducts[SKU],0)),"")</f>
        <v/>
      </c>
    </row>
    <row r="204" spans="4:6" ht="19.95" customHeight="1">
      <c r="D204" t="str">
        <f>IFERROR(INDEX(tblCRM[姓名／稱呼],MATCH(tblService[[#This Row],[客戶ID]],tblCRM[客戶ID],0)),"")</f>
        <v/>
      </c>
      <c r="F204" t="str">
        <f>IFERROR(INDEX(tblProducts[正式名稱],MATCH(tblService[[#This Row],[服務SKU]],tblProducts[SKU],0)),"")</f>
        <v/>
      </c>
    </row>
    <row r="205" spans="4:6" ht="19.95" customHeight="1">
      <c r="D205" t="str">
        <f>IFERROR(INDEX(tblCRM[姓名／稱呼],MATCH(tblService[[#This Row],[客戶ID]],tblCRM[客戶ID],0)),"")</f>
        <v/>
      </c>
      <c r="F205" t="str">
        <f>IFERROR(INDEX(tblProducts[正式名稱],MATCH(tblService[[#This Row],[服務SKU]],tblProducts[SKU],0)),"")</f>
        <v/>
      </c>
    </row>
    <row r="206" spans="4:6" ht="19.95" customHeight="1">
      <c r="D206" t="str">
        <f>IFERROR(INDEX(tblCRM[姓名／稱呼],MATCH(tblService[[#This Row],[客戶ID]],tblCRM[客戶ID],0)),"")</f>
        <v/>
      </c>
      <c r="F206" t="str">
        <f>IFERROR(INDEX(tblProducts[正式名稱],MATCH(tblService[[#This Row],[服務SKU]],tblProducts[SKU],0)),"")</f>
        <v/>
      </c>
    </row>
    <row r="207" spans="4:6" ht="19.95" customHeight="1">
      <c r="D207" t="str">
        <f>IFERROR(INDEX(tblCRM[姓名／稱呼],MATCH(tblService[[#This Row],[客戶ID]],tblCRM[客戶ID],0)),"")</f>
        <v/>
      </c>
      <c r="F207" t="str">
        <f>IFERROR(INDEX(tblProducts[正式名稱],MATCH(tblService[[#This Row],[服務SKU]],tblProducts[SKU],0)),"")</f>
        <v/>
      </c>
    </row>
    <row r="208" spans="4:6" ht="19.95" customHeight="1">
      <c r="D208" t="str">
        <f>IFERROR(INDEX(tblCRM[姓名／稱呼],MATCH(tblService[[#This Row],[客戶ID]],tblCRM[客戶ID],0)),"")</f>
        <v/>
      </c>
      <c r="F208" t="str">
        <f>IFERROR(INDEX(tblProducts[正式名稱],MATCH(tblService[[#This Row],[服務SKU]],tblProducts[SKU],0)),"")</f>
        <v/>
      </c>
    </row>
    <row r="209" spans="4:6" ht="19.95" customHeight="1">
      <c r="D209" t="str">
        <f>IFERROR(INDEX(tblCRM[姓名／稱呼],MATCH(tblService[[#This Row],[客戶ID]],tblCRM[客戶ID],0)),"")</f>
        <v/>
      </c>
      <c r="F209" t="str">
        <f>IFERROR(INDEX(tblProducts[正式名稱],MATCH(tblService[[#This Row],[服務SKU]],tblProducts[SKU],0)),"")</f>
        <v/>
      </c>
    </row>
    <row r="210" spans="4:6" ht="19.95" customHeight="1">
      <c r="D210" t="str">
        <f>IFERROR(INDEX(tblCRM[姓名／稱呼],MATCH(tblService[[#This Row],[客戶ID]],tblCRM[客戶ID],0)),"")</f>
        <v/>
      </c>
      <c r="F210" t="str">
        <f>IFERROR(INDEX(tblProducts[正式名稱],MATCH(tblService[[#This Row],[服務SKU]],tblProducts[SKU],0)),"")</f>
        <v/>
      </c>
    </row>
    <row r="211" spans="4:6" ht="19.95" customHeight="1">
      <c r="D211" t="str">
        <f>IFERROR(INDEX(tblCRM[姓名／稱呼],MATCH(tblService[[#This Row],[客戶ID]],tblCRM[客戶ID],0)),"")</f>
        <v/>
      </c>
      <c r="F211" t="str">
        <f>IFERROR(INDEX(tblProducts[正式名稱],MATCH(tblService[[#This Row],[服務SKU]],tblProducts[SKU],0)),"")</f>
        <v/>
      </c>
    </row>
    <row r="212" spans="4:6" ht="19.95" customHeight="1">
      <c r="D212" t="str">
        <f>IFERROR(INDEX(tblCRM[姓名／稱呼],MATCH(tblService[[#This Row],[客戶ID]],tblCRM[客戶ID],0)),"")</f>
        <v/>
      </c>
      <c r="F212" t="str">
        <f>IFERROR(INDEX(tblProducts[正式名稱],MATCH(tblService[[#This Row],[服務SKU]],tblProducts[SKU],0)),"")</f>
        <v/>
      </c>
    </row>
    <row r="213" spans="4:6" ht="19.95" customHeight="1">
      <c r="D213" t="str">
        <f>IFERROR(INDEX(tblCRM[姓名／稱呼],MATCH(tblService[[#This Row],[客戶ID]],tblCRM[客戶ID],0)),"")</f>
        <v/>
      </c>
      <c r="F213" t="str">
        <f>IFERROR(INDEX(tblProducts[正式名稱],MATCH(tblService[[#This Row],[服務SKU]],tblProducts[SKU],0)),"")</f>
        <v/>
      </c>
    </row>
    <row r="214" spans="4:6" ht="19.95" customHeight="1">
      <c r="D214" t="str">
        <f>IFERROR(INDEX(tblCRM[姓名／稱呼],MATCH(tblService[[#This Row],[客戶ID]],tblCRM[客戶ID],0)),"")</f>
        <v/>
      </c>
      <c r="F214" t="str">
        <f>IFERROR(INDEX(tblProducts[正式名稱],MATCH(tblService[[#This Row],[服務SKU]],tblProducts[SKU],0)),"")</f>
        <v/>
      </c>
    </row>
    <row r="215" spans="4:6" ht="19.95" customHeight="1">
      <c r="D215" t="str">
        <f>IFERROR(INDEX(tblCRM[姓名／稱呼],MATCH(tblService[[#This Row],[客戶ID]],tblCRM[客戶ID],0)),"")</f>
        <v/>
      </c>
      <c r="F215" t="str">
        <f>IFERROR(INDEX(tblProducts[正式名稱],MATCH(tblService[[#This Row],[服務SKU]],tblProducts[SKU],0)),"")</f>
        <v/>
      </c>
    </row>
    <row r="216" spans="4:6" ht="19.95" customHeight="1">
      <c r="D216" t="str">
        <f>IFERROR(INDEX(tblCRM[姓名／稱呼],MATCH(tblService[[#This Row],[客戶ID]],tblCRM[客戶ID],0)),"")</f>
        <v/>
      </c>
      <c r="F216" t="str">
        <f>IFERROR(INDEX(tblProducts[正式名稱],MATCH(tblService[[#This Row],[服務SKU]],tblProducts[SKU],0)),"")</f>
        <v/>
      </c>
    </row>
    <row r="217" spans="4:6" ht="19.95" customHeight="1">
      <c r="D217" t="str">
        <f>IFERROR(INDEX(tblCRM[姓名／稱呼],MATCH(tblService[[#This Row],[客戶ID]],tblCRM[客戶ID],0)),"")</f>
        <v/>
      </c>
      <c r="F217" t="str">
        <f>IFERROR(INDEX(tblProducts[正式名稱],MATCH(tblService[[#This Row],[服務SKU]],tblProducts[SKU],0)),"")</f>
        <v/>
      </c>
    </row>
    <row r="218" spans="4:6" ht="19.95" customHeight="1">
      <c r="D218" t="str">
        <f>IFERROR(INDEX(tblCRM[姓名／稱呼],MATCH(tblService[[#This Row],[客戶ID]],tblCRM[客戶ID],0)),"")</f>
        <v/>
      </c>
      <c r="F218" t="str">
        <f>IFERROR(INDEX(tblProducts[正式名稱],MATCH(tblService[[#This Row],[服務SKU]],tblProducts[SKU],0)),"")</f>
        <v/>
      </c>
    </row>
    <row r="219" spans="4:6" ht="19.95" customHeight="1">
      <c r="D219" t="str">
        <f>IFERROR(INDEX(tblCRM[姓名／稱呼],MATCH(tblService[[#This Row],[客戶ID]],tblCRM[客戶ID],0)),"")</f>
        <v/>
      </c>
      <c r="F219" t="str">
        <f>IFERROR(INDEX(tblProducts[正式名稱],MATCH(tblService[[#This Row],[服務SKU]],tblProducts[SKU],0)),"")</f>
        <v/>
      </c>
    </row>
    <row r="220" spans="4:6" ht="19.95" customHeight="1">
      <c r="D220" t="str">
        <f>IFERROR(INDEX(tblCRM[姓名／稱呼],MATCH(tblService[[#This Row],[客戶ID]],tblCRM[客戶ID],0)),"")</f>
        <v/>
      </c>
      <c r="F220" t="str">
        <f>IFERROR(INDEX(tblProducts[正式名稱],MATCH(tblService[[#This Row],[服務SKU]],tblProducts[SKU],0)),"")</f>
        <v/>
      </c>
    </row>
    <row r="221" spans="4:6" ht="19.95" customHeight="1">
      <c r="D221" t="str">
        <f>IFERROR(INDEX(tblCRM[姓名／稱呼],MATCH(tblService[[#This Row],[客戶ID]],tblCRM[客戶ID],0)),"")</f>
        <v/>
      </c>
      <c r="F221" t="str">
        <f>IFERROR(INDEX(tblProducts[正式名稱],MATCH(tblService[[#This Row],[服務SKU]],tblProducts[SKU],0)),"")</f>
        <v/>
      </c>
    </row>
    <row r="222" spans="4:6" ht="19.95" customHeight="1">
      <c r="D222" t="str">
        <f>IFERROR(INDEX(tblCRM[姓名／稱呼],MATCH(tblService[[#This Row],[客戶ID]],tblCRM[客戶ID],0)),"")</f>
        <v/>
      </c>
      <c r="F222" t="str">
        <f>IFERROR(INDEX(tblProducts[正式名稱],MATCH(tblService[[#This Row],[服務SKU]],tblProducts[SKU],0)),"")</f>
        <v/>
      </c>
    </row>
    <row r="223" spans="4:6" ht="19.95" customHeight="1">
      <c r="D223" t="str">
        <f>IFERROR(INDEX(tblCRM[姓名／稱呼],MATCH(tblService[[#This Row],[客戶ID]],tblCRM[客戶ID],0)),"")</f>
        <v/>
      </c>
      <c r="F223" t="str">
        <f>IFERROR(INDEX(tblProducts[正式名稱],MATCH(tblService[[#This Row],[服務SKU]],tblProducts[SKU],0)),"")</f>
        <v/>
      </c>
    </row>
    <row r="224" spans="4:6" ht="19.95" customHeight="1">
      <c r="D224" t="str">
        <f>IFERROR(INDEX(tblCRM[姓名／稱呼],MATCH(tblService[[#This Row],[客戶ID]],tblCRM[客戶ID],0)),"")</f>
        <v/>
      </c>
      <c r="F224" t="str">
        <f>IFERROR(INDEX(tblProducts[正式名稱],MATCH(tblService[[#This Row],[服務SKU]],tblProducts[SKU],0)),"")</f>
        <v/>
      </c>
    </row>
    <row r="225" spans="4:6" ht="19.95" customHeight="1">
      <c r="D225" t="str">
        <f>IFERROR(INDEX(tblCRM[姓名／稱呼],MATCH(tblService[[#This Row],[客戶ID]],tblCRM[客戶ID],0)),"")</f>
        <v/>
      </c>
      <c r="F225" t="str">
        <f>IFERROR(INDEX(tblProducts[正式名稱],MATCH(tblService[[#This Row],[服務SKU]],tblProducts[SKU],0)),"")</f>
        <v/>
      </c>
    </row>
    <row r="226" spans="4:6" ht="19.95" customHeight="1">
      <c r="D226" t="str">
        <f>IFERROR(INDEX(tblCRM[姓名／稱呼],MATCH(tblService[[#This Row],[客戶ID]],tblCRM[客戶ID],0)),"")</f>
        <v/>
      </c>
      <c r="F226" t="str">
        <f>IFERROR(INDEX(tblProducts[正式名稱],MATCH(tblService[[#This Row],[服務SKU]],tblProducts[SKU],0)),"")</f>
        <v/>
      </c>
    </row>
    <row r="227" spans="4:6" ht="19.95" customHeight="1">
      <c r="D227" t="str">
        <f>IFERROR(INDEX(tblCRM[姓名／稱呼],MATCH(tblService[[#This Row],[客戶ID]],tblCRM[客戶ID],0)),"")</f>
        <v/>
      </c>
      <c r="F227" t="str">
        <f>IFERROR(INDEX(tblProducts[正式名稱],MATCH(tblService[[#This Row],[服務SKU]],tblProducts[SKU],0)),"")</f>
        <v/>
      </c>
    </row>
    <row r="228" spans="4:6" ht="19.95" customHeight="1">
      <c r="D228" t="str">
        <f>IFERROR(INDEX(tblCRM[姓名／稱呼],MATCH(tblService[[#This Row],[客戶ID]],tblCRM[客戶ID],0)),"")</f>
        <v/>
      </c>
      <c r="F228" t="str">
        <f>IFERROR(INDEX(tblProducts[正式名稱],MATCH(tblService[[#This Row],[服務SKU]],tblProducts[SKU],0)),"")</f>
        <v/>
      </c>
    </row>
    <row r="229" spans="4:6" ht="19.95" customHeight="1">
      <c r="D229" t="str">
        <f>IFERROR(INDEX(tblCRM[姓名／稱呼],MATCH(tblService[[#This Row],[客戶ID]],tblCRM[客戶ID],0)),"")</f>
        <v/>
      </c>
      <c r="F229" t="str">
        <f>IFERROR(INDEX(tblProducts[正式名稱],MATCH(tblService[[#This Row],[服務SKU]],tblProducts[SKU],0)),"")</f>
        <v/>
      </c>
    </row>
    <row r="230" spans="4:6" ht="19.95" customHeight="1">
      <c r="D230" t="str">
        <f>IFERROR(INDEX(tblCRM[姓名／稱呼],MATCH(tblService[[#This Row],[客戶ID]],tblCRM[客戶ID],0)),"")</f>
        <v/>
      </c>
      <c r="F230" t="str">
        <f>IFERROR(INDEX(tblProducts[正式名稱],MATCH(tblService[[#This Row],[服務SKU]],tblProducts[SKU],0)),"")</f>
        <v/>
      </c>
    </row>
    <row r="231" spans="4:6" ht="19.95" customHeight="1">
      <c r="D231" t="str">
        <f>IFERROR(INDEX(tblCRM[姓名／稱呼],MATCH(tblService[[#This Row],[客戶ID]],tblCRM[客戶ID],0)),"")</f>
        <v/>
      </c>
      <c r="F231" t="str">
        <f>IFERROR(INDEX(tblProducts[正式名稱],MATCH(tblService[[#This Row],[服務SKU]],tblProducts[SKU],0)),"")</f>
        <v/>
      </c>
    </row>
    <row r="232" spans="4:6" ht="19.95" customHeight="1">
      <c r="D232" t="str">
        <f>IFERROR(INDEX(tblCRM[姓名／稱呼],MATCH(tblService[[#This Row],[客戶ID]],tblCRM[客戶ID],0)),"")</f>
        <v/>
      </c>
      <c r="F232" t="str">
        <f>IFERROR(INDEX(tblProducts[正式名稱],MATCH(tblService[[#This Row],[服務SKU]],tblProducts[SKU],0)),"")</f>
        <v/>
      </c>
    </row>
    <row r="233" spans="4:6" ht="19.95" customHeight="1">
      <c r="D233" t="str">
        <f>IFERROR(INDEX(tblCRM[姓名／稱呼],MATCH(tblService[[#This Row],[客戶ID]],tblCRM[客戶ID],0)),"")</f>
        <v/>
      </c>
      <c r="F233" t="str">
        <f>IFERROR(INDEX(tblProducts[正式名稱],MATCH(tblService[[#This Row],[服務SKU]],tblProducts[SKU],0)),"")</f>
        <v/>
      </c>
    </row>
    <row r="234" spans="4:6" ht="19.95" customHeight="1">
      <c r="D234" t="str">
        <f>IFERROR(INDEX(tblCRM[姓名／稱呼],MATCH(tblService[[#This Row],[客戶ID]],tblCRM[客戶ID],0)),"")</f>
        <v/>
      </c>
      <c r="F234" t="str">
        <f>IFERROR(INDEX(tblProducts[正式名稱],MATCH(tblService[[#This Row],[服務SKU]],tblProducts[SKU],0)),"")</f>
        <v/>
      </c>
    </row>
    <row r="235" spans="4:6" ht="19.95" customHeight="1">
      <c r="D235" t="str">
        <f>IFERROR(INDEX(tblCRM[姓名／稱呼],MATCH(tblService[[#This Row],[客戶ID]],tblCRM[客戶ID],0)),"")</f>
        <v/>
      </c>
      <c r="F235" t="str">
        <f>IFERROR(INDEX(tblProducts[正式名稱],MATCH(tblService[[#This Row],[服務SKU]],tblProducts[SKU],0)),"")</f>
        <v/>
      </c>
    </row>
    <row r="236" spans="4:6" ht="19.95" customHeight="1">
      <c r="D236" t="str">
        <f>IFERROR(INDEX(tblCRM[姓名／稱呼],MATCH(tblService[[#This Row],[客戶ID]],tblCRM[客戶ID],0)),"")</f>
        <v/>
      </c>
      <c r="F236" t="str">
        <f>IFERROR(INDEX(tblProducts[正式名稱],MATCH(tblService[[#This Row],[服務SKU]],tblProducts[SKU],0)),"")</f>
        <v/>
      </c>
    </row>
    <row r="237" spans="4:6" ht="19.95" customHeight="1">
      <c r="D237" t="str">
        <f>IFERROR(INDEX(tblCRM[姓名／稱呼],MATCH(tblService[[#This Row],[客戶ID]],tblCRM[客戶ID],0)),"")</f>
        <v/>
      </c>
      <c r="F237" t="str">
        <f>IFERROR(INDEX(tblProducts[正式名稱],MATCH(tblService[[#This Row],[服務SKU]],tblProducts[SKU],0)),"")</f>
        <v/>
      </c>
    </row>
    <row r="238" spans="4:6" ht="19.95" customHeight="1">
      <c r="D238" t="str">
        <f>IFERROR(INDEX(tblCRM[姓名／稱呼],MATCH(tblService[[#This Row],[客戶ID]],tblCRM[客戶ID],0)),"")</f>
        <v/>
      </c>
      <c r="F238" t="str">
        <f>IFERROR(INDEX(tblProducts[正式名稱],MATCH(tblService[[#This Row],[服務SKU]],tblProducts[SKU],0)),"")</f>
        <v/>
      </c>
    </row>
    <row r="239" spans="4:6" ht="19.95" customHeight="1">
      <c r="D239" t="str">
        <f>IFERROR(INDEX(tblCRM[姓名／稱呼],MATCH(tblService[[#This Row],[客戶ID]],tblCRM[客戶ID],0)),"")</f>
        <v/>
      </c>
      <c r="F239" t="str">
        <f>IFERROR(INDEX(tblProducts[正式名稱],MATCH(tblService[[#This Row],[服務SKU]],tblProducts[SKU],0)),"")</f>
        <v/>
      </c>
    </row>
    <row r="240" spans="4:6" ht="19.95" customHeight="1">
      <c r="D240" t="str">
        <f>IFERROR(INDEX(tblCRM[姓名／稱呼],MATCH(tblService[[#This Row],[客戶ID]],tblCRM[客戶ID],0)),"")</f>
        <v/>
      </c>
      <c r="F240" t="str">
        <f>IFERROR(INDEX(tblProducts[正式名稱],MATCH(tblService[[#This Row],[服務SKU]],tblProducts[SKU],0)),"")</f>
        <v/>
      </c>
    </row>
    <row r="241" spans="4:6" ht="19.95" customHeight="1">
      <c r="D241" t="str">
        <f>IFERROR(INDEX(tblCRM[姓名／稱呼],MATCH(tblService[[#This Row],[客戶ID]],tblCRM[客戶ID],0)),"")</f>
        <v/>
      </c>
      <c r="F241" t="str">
        <f>IFERROR(INDEX(tblProducts[正式名稱],MATCH(tblService[[#This Row],[服務SKU]],tblProducts[SKU],0)),"")</f>
        <v/>
      </c>
    </row>
    <row r="242" spans="4:6" ht="19.95" customHeight="1">
      <c r="D242" t="str">
        <f>IFERROR(INDEX(tblCRM[姓名／稱呼],MATCH(tblService[[#This Row],[客戶ID]],tblCRM[客戶ID],0)),"")</f>
        <v/>
      </c>
      <c r="F242" t="str">
        <f>IFERROR(INDEX(tblProducts[正式名稱],MATCH(tblService[[#This Row],[服務SKU]],tblProducts[SKU],0)),"")</f>
        <v/>
      </c>
    </row>
    <row r="243" spans="4:6" ht="19.95" customHeight="1">
      <c r="D243" t="str">
        <f>IFERROR(INDEX(tblCRM[姓名／稱呼],MATCH(tblService[[#This Row],[客戶ID]],tblCRM[客戶ID],0)),"")</f>
        <v/>
      </c>
      <c r="F243" t="str">
        <f>IFERROR(INDEX(tblProducts[正式名稱],MATCH(tblService[[#This Row],[服務SKU]],tblProducts[SKU],0)),"")</f>
        <v/>
      </c>
    </row>
    <row r="244" spans="4:6" ht="19.95" customHeight="1">
      <c r="D244" t="str">
        <f>IFERROR(INDEX(tblCRM[姓名／稱呼],MATCH(tblService[[#This Row],[客戶ID]],tblCRM[客戶ID],0)),"")</f>
        <v/>
      </c>
      <c r="F244" t="str">
        <f>IFERROR(INDEX(tblProducts[正式名稱],MATCH(tblService[[#This Row],[服務SKU]],tblProducts[SKU],0)),"")</f>
        <v/>
      </c>
    </row>
    <row r="245" spans="4:6" ht="19.95" customHeight="1">
      <c r="D245" t="str">
        <f>IFERROR(INDEX(tblCRM[姓名／稱呼],MATCH(tblService[[#This Row],[客戶ID]],tblCRM[客戶ID],0)),"")</f>
        <v/>
      </c>
      <c r="F245" t="str">
        <f>IFERROR(INDEX(tblProducts[正式名稱],MATCH(tblService[[#This Row],[服務SKU]],tblProducts[SKU],0)),"")</f>
        <v/>
      </c>
    </row>
    <row r="246" spans="4:6" ht="19.95" customHeight="1">
      <c r="D246" t="str">
        <f>IFERROR(INDEX(tblCRM[姓名／稱呼],MATCH(tblService[[#This Row],[客戶ID]],tblCRM[客戶ID],0)),"")</f>
        <v/>
      </c>
      <c r="F246" t="str">
        <f>IFERROR(INDEX(tblProducts[正式名稱],MATCH(tblService[[#This Row],[服務SKU]],tblProducts[SKU],0)),"")</f>
        <v/>
      </c>
    </row>
    <row r="247" spans="4:6" ht="19.95" customHeight="1">
      <c r="D247" t="str">
        <f>IFERROR(INDEX(tblCRM[姓名／稱呼],MATCH(tblService[[#This Row],[客戶ID]],tblCRM[客戶ID],0)),"")</f>
        <v/>
      </c>
      <c r="F247" t="str">
        <f>IFERROR(INDEX(tblProducts[正式名稱],MATCH(tblService[[#This Row],[服務SKU]],tblProducts[SKU],0)),"")</f>
        <v/>
      </c>
    </row>
    <row r="248" spans="4:6" ht="19.95" customHeight="1">
      <c r="D248" t="str">
        <f>IFERROR(INDEX(tblCRM[姓名／稱呼],MATCH(tblService[[#This Row],[客戶ID]],tblCRM[客戶ID],0)),"")</f>
        <v/>
      </c>
      <c r="F248" t="str">
        <f>IFERROR(INDEX(tblProducts[正式名稱],MATCH(tblService[[#This Row],[服務SKU]],tblProducts[SKU],0)),"")</f>
        <v/>
      </c>
    </row>
    <row r="249" spans="4:6" ht="19.95" customHeight="1">
      <c r="D249" t="str">
        <f>IFERROR(INDEX(tblCRM[姓名／稱呼],MATCH(tblService[[#This Row],[客戶ID]],tblCRM[客戶ID],0)),"")</f>
        <v/>
      </c>
      <c r="F249" t="str">
        <f>IFERROR(INDEX(tblProducts[正式名稱],MATCH(tblService[[#This Row],[服務SKU]],tblProducts[SKU],0)),"")</f>
        <v/>
      </c>
    </row>
    <row r="250" spans="4:6" ht="19.95" customHeight="1">
      <c r="D250" t="str">
        <f>IFERROR(INDEX(tblCRM[姓名／稱呼],MATCH(tblService[[#This Row],[客戶ID]],tblCRM[客戶ID],0)),"")</f>
        <v/>
      </c>
      <c r="F250" t="str">
        <f>IFERROR(INDEX(tblProducts[正式名稱],MATCH(tblService[[#This Row],[服務SKU]],tblProducts[SKU],0)),"")</f>
        <v/>
      </c>
    </row>
    <row r="251" spans="4:6" ht="19.95" customHeight="1">
      <c r="D251" t="str">
        <f>IFERROR(INDEX(tblCRM[姓名／稱呼],MATCH(tblService[[#This Row],[客戶ID]],tblCRM[客戶ID],0)),"")</f>
        <v/>
      </c>
      <c r="F251" t="str">
        <f>IFERROR(INDEX(tblProducts[正式名稱],MATCH(tblService[[#This Row],[服務SKU]],tblProducts[SKU],0)),"")</f>
        <v/>
      </c>
    </row>
    <row r="252" spans="4:6" ht="19.95" customHeight="1">
      <c r="D252" t="str">
        <f>IFERROR(INDEX(tblCRM[姓名／稱呼],MATCH(tblService[[#This Row],[客戶ID]],tblCRM[客戶ID],0)),"")</f>
        <v/>
      </c>
      <c r="F252" t="str">
        <f>IFERROR(INDEX(tblProducts[正式名稱],MATCH(tblService[[#This Row],[服務SKU]],tblProducts[SKU],0)),"")</f>
        <v/>
      </c>
    </row>
    <row r="253" spans="4:6" ht="19.95" customHeight="1">
      <c r="D253" t="str">
        <f>IFERROR(INDEX(tblCRM[姓名／稱呼],MATCH(tblService[[#This Row],[客戶ID]],tblCRM[客戶ID],0)),"")</f>
        <v/>
      </c>
      <c r="F253" t="str">
        <f>IFERROR(INDEX(tblProducts[正式名稱],MATCH(tblService[[#This Row],[服務SKU]],tblProducts[SKU],0)),"")</f>
        <v/>
      </c>
    </row>
    <row r="254" spans="4:6" ht="19.95" customHeight="1">
      <c r="D254" t="str">
        <f>IFERROR(INDEX(tblCRM[姓名／稱呼],MATCH(tblService[[#This Row],[客戶ID]],tblCRM[客戶ID],0)),"")</f>
        <v/>
      </c>
      <c r="F254" t="str">
        <f>IFERROR(INDEX(tblProducts[正式名稱],MATCH(tblService[[#This Row],[服務SKU]],tblProducts[SKU],0)),"")</f>
        <v/>
      </c>
    </row>
    <row r="255" spans="4:6" ht="19.95" customHeight="1">
      <c r="D255" t="str">
        <f>IFERROR(INDEX(tblCRM[姓名／稱呼],MATCH(tblService[[#This Row],[客戶ID]],tblCRM[客戶ID],0)),"")</f>
        <v/>
      </c>
      <c r="F255" t="str">
        <f>IFERROR(INDEX(tblProducts[正式名稱],MATCH(tblService[[#This Row],[服務SKU]],tblProducts[SKU],0)),"")</f>
        <v/>
      </c>
    </row>
    <row r="256" spans="4:6" ht="19.95" customHeight="1">
      <c r="D256" t="str">
        <f>IFERROR(INDEX(tblCRM[姓名／稱呼],MATCH(tblService[[#This Row],[客戶ID]],tblCRM[客戶ID],0)),"")</f>
        <v/>
      </c>
      <c r="F256" t="str">
        <f>IFERROR(INDEX(tblProducts[正式名稱],MATCH(tblService[[#This Row],[服務SKU]],tblProducts[SKU],0)),"")</f>
        <v/>
      </c>
    </row>
    <row r="257" spans="4:6" ht="19.95" customHeight="1">
      <c r="D257" t="str">
        <f>IFERROR(INDEX(tblCRM[姓名／稱呼],MATCH(tblService[[#This Row],[客戶ID]],tblCRM[客戶ID],0)),"")</f>
        <v/>
      </c>
      <c r="F257" t="str">
        <f>IFERROR(INDEX(tblProducts[正式名稱],MATCH(tblService[[#This Row],[服務SKU]],tblProducts[SKU],0)),"")</f>
        <v/>
      </c>
    </row>
    <row r="258" spans="4:6" ht="19.95" customHeight="1">
      <c r="D258" t="str">
        <f>IFERROR(INDEX(tblCRM[姓名／稱呼],MATCH(tblService[[#This Row],[客戶ID]],tblCRM[客戶ID],0)),"")</f>
        <v/>
      </c>
      <c r="F258" t="str">
        <f>IFERROR(INDEX(tblProducts[正式名稱],MATCH(tblService[[#This Row],[服務SKU]],tblProducts[SKU],0)),"")</f>
        <v/>
      </c>
    </row>
    <row r="259" spans="4:6" ht="19.95" customHeight="1">
      <c r="D259" t="str">
        <f>IFERROR(INDEX(tblCRM[姓名／稱呼],MATCH(tblService[[#This Row],[客戶ID]],tblCRM[客戶ID],0)),"")</f>
        <v/>
      </c>
      <c r="F259" t="str">
        <f>IFERROR(INDEX(tblProducts[正式名稱],MATCH(tblService[[#This Row],[服務SKU]],tblProducts[SKU],0)),"")</f>
        <v/>
      </c>
    </row>
    <row r="260" spans="4:6" ht="19.95" customHeight="1">
      <c r="D260" t="str">
        <f>IFERROR(INDEX(tblCRM[姓名／稱呼],MATCH(tblService[[#This Row],[客戶ID]],tblCRM[客戶ID],0)),"")</f>
        <v/>
      </c>
      <c r="F260" t="str">
        <f>IFERROR(INDEX(tblProducts[正式名稱],MATCH(tblService[[#This Row],[服務SKU]],tblProducts[SKU],0)),"")</f>
        <v/>
      </c>
    </row>
    <row r="261" spans="4:6" ht="19.95" customHeight="1">
      <c r="D261" t="str">
        <f>IFERROR(INDEX(tblCRM[姓名／稱呼],MATCH(tblService[[#This Row],[客戶ID]],tblCRM[客戶ID],0)),"")</f>
        <v/>
      </c>
      <c r="F261" t="str">
        <f>IFERROR(INDEX(tblProducts[正式名稱],MATCH(tblService[[#This Row],[服務SKU]],tblProducts[SKU],0)),"")</f>
        <v/>
      </c>
    </row>
    <row r="262" spans="4:6" ht="19.95" customHeight="1">
      <c r="D262" t="str">
        <f>IFERROR(INDEX(tblCRM[姓名／稱呼],MATCH(tblService[[#This Row],[客戶ID]],tblCRM[客戶ID],0)),"")</f>
        <v/>
      </c>
      <c r="F262" t="str">
        <f>IFERROR(INDEX(tblProducts[正式名稱],MATCH(tblService[[#This Row],[服務SKU]],tblProducts[SKU],0)),"")</f>
        <v/>
      </c>
    </row>
    <row r="263" spans="4:6" ht="19.95" customHeight="1">
      <c r="D263" t="str">
        <f>IFERROR(INDEX(tblCRM[姓名／稱呼],MATCH(tblService[[#This Row],[客戶ID]],tblCRM[客戶ID],0)),"")</f>
        <v/>
      </c>
      <c r="F263" t="str">
        <f>IFERROR(INDEX(tblProducts[正式名稱],MATCH(tblService[[#This Row],[服務SKU]],tblProducts[SKU],0)),"")</f>
        <v/>
      </c>
    </row>
    <row r="264" spans="4:6" ht="19.95" customHeight="1">
      <c r="D264" t="str">
        <f>IFERROR(INDEX(tblCRM[姓名／稱呼],MATCH(tblService[[#This Row],[客戶ID]],tblCRM[客戶ID],0)),"")</f>
        <v/>
      </c>
      <c r="F264" t="str">
        <f>IFERROR(INDEX(tblProducts[正式名稱],MATCH(tblService[[#This Row],[服務SKU]],tblProducts[SKU],0)),"")</f>
        <v/>
      </c>
    </row>
    <row r="265" spans="4:6" ht="19.95" customHeight="1">
      <c r="D265" t="str">
        <f>IFERROR(INDEX(tblCRM[姓名／稱呼],MATCH(tblService[[#This Row],[客戶ID]],tblCRM[客戶ID],0)),"")</f>
        <v/>
      </c>
      <c r="F265" t="str">
        <f>IFERROR(INDEX(tblProducts[正式名稱],MATCH(tblService[[#This Row],[服務SKU]],tblProducts[SKU],0)),"")</f>
        <v/>
      </c>
    </row>
    <row r="266" spans="4:6" ht="19.95" customHeight="1">
      <c r="D266" t="str">
        <f>IFERROR(INDEX(tblCRM[姓名／稱呼],MATCH(tblService[[#This Row],[客戶ID]],tblCRM[客戶ID],0)),"")</f>
        <v/>
      </c>
      <c r="F266" t="str">
        <f>IFERROR(INDEX(tblProducts[正式名稱],MATCH(tblService[[#This Row],[服務SKU]],tblProducts[SKU],0)),"")</f>
        <v/>
      </c>
    </row>
    <row r="267" spans="4:6" ht="19.95" customHeight="1">
      <c r="D267" t="str">
        <f>IFERROR(INDEX(tblCRM[姓名／稱呼],MATCH(tblService[[#This Row],[客戶ID]],tblCRM[客戶ID],0)),"")</f>
        <v/>
      </c>
      <c r="F267" t="str">
        <f>IFERROR(INDEX(tblProducts[正式名稱],MATCH(tblService[[#This Row],[服務SKU]],tblProducts[SKU],0)),"")</f>
        <v/>
      </c>
    </row>
    <row r="268" spans="4:6" ht="19.95" customHeight="1">
      <c r="D268" t="str">
        <f>IFERROR(INDEX(tblCRM[姓名／稱呼],MATCH(tblService[[#This Row],[客戶ID]],tblCRM[客戶ID],0)),"")</f>
        <v/>
      </c>
      <c r="F268" t="str">
        <f>IFERROR(INDEX(tblProducts[正式名稱],MATCH(tblService[[#This Row],[服務SKU]],tblProducts[SKU],0)),"")</f>
        <v/>
      </c>
    </row>
    <row r="269" spans="4:6" ht="19.95" customHeight="1">
      <c r="D269" t="str">
        <f>IFERROR(INDEX(tblCRM[姓名／稱呼],MATCH(tblService[[#This Row],[客戶ID]],tblCRM[客戶ID],0)),"")</f>
        <v/>
      </c>
      <c r="F269" t="str">
        <f>IFERROR(INDEX(tblProducts[正式名稱],MATCH(tblService[[#This Row],[服務SKU]],tblProducts[SKU],0)),"")</f>
        <v/>
      </c>
    </row>
    <row r="270" spans="4:6" ht="19.95" customHeight="1">
      <c r="D270" t="str">
        <f>IFERROR(INDEX(tblCRM[姓名／稱呼],MATCH(tblService[[#This Row],[客戶ID]],tblCRM[客戶ID],0)),"")</f>
        <v/>
      </c>
      <c r="F270" t="str">
        <f>IFERROR(INDEX(tblProducts[正式名稱],MATCH(tblService[[#This Row],[服務SKU]],tblProducts[SKU],0)),"")</f>
        <v/>
      </c>
    </row>
    <row r="271" spans="4:6" ht="19.95" customHeight="1">
      <c r="D271" t="str">
        <f>IFERROR(INDEX(tblCRM[姓名／稱呼],MATCH(tblService[[#This Row],[客戶ID]],tblCRM[客戶ID],0)),"")</f>
        <v/>
      </c>
      <c r="F271" t="str">
        <f>IFERROR(INDEX(tblProducts[正式名稱],MATCH(tblService[[#This Row],[服務SKU]],tblProducts[SKU],0)),"")</f>
        <v/>
      </c>
    </row>
    <row r="272" spans="4:6" ht="19.95" customHeight="1">
      <c r="D272" t="str">
        <f>IFERROR(INDEX(tblCRM[姓名／稱呼],MATCH(tblService[[#This Row],[客戶ID]],tblCRM[客戶ID],0)),"")</f>
        <v/>
      </c>
      <c r="F272" t="str">
        <f>IFERROR(INDEX(tblProducts[正式名稱],MATCH(tblService[[#This Row],[服務SKU]],tblProducts[SKU],0)),"")</f>
        <v/>
      </c>
    </row>
    <row r="273" spans="4:6" ht="19.95" customHeight="1">
      <c r="D273" t="str">
        <f>IFERROR(INDEX(tblCRM[姓名／稱呼],MATCH(tblService[[#This Row],[客戶ID]],tblCRM[客戶ID],0)),"")</f>
        <v/>
      </c>
      <c r="F273" t="str">
        <f>IFERROR(INDEX(tblProducts[正式名稱],MATCH(tblService[[#This Row],[服務SKU]],tblProducts[SKU],0)),"")</f>
        <v/>
      </c>
    </row>
    <row r="274" spans="4:6" ht="19.95" customHeight="1">
      <c r="D274" t="str">
        <f>IFERROR(INDEX(tblCRM[姓名／稱呼],MATCH(tblService[[#This Row],[客戶ID]],tblCRM[客戶ID],0)),"")</f>
        <v/>
      </c>
      <c r="F274" t="str">
        <f>IFERROR(INDEX(tblProducts[正式名稱],MATCH(tblService[[#This Row],[服務SKU]],tblProducts[SKU],0)),"")</f>
        <v/>
      </c>
    </row>
    <row r="275" spans="4:6" ht="19.95" customHeight="1">
      <c r="D275" t="str">
        <f>IFERROR(INDEX(tblCRM[姓名／稱呼],MATCH(tblService[[#This Row],[客戶ID]],tblCRM[客戶ID],0)),"")</f>
        <v/>
      </c>
      <c r="F275" t="str">
        <f>IFERROR(INDEX(tblProducts[正式名稱],MATCH(tblService[[#This Row],[服務SKU]],tblProducts[SKU],0)),"")</f>
        <v/>
      </c>
    </row>
    <row r="276" spans="4:6" ht="19.95" customHeight="1">
      <c r="D276" t="str">
        <f>IFERROR(INDEX(tblCRM[姓名／稱呼],MATCH(tblService[[#This Row],[客戶ID]],tblCRM[客戶ID],0)),"")</f>
        <v/>
      </c>
      <c r="F276" t="str">
        <f>IFERROR(INDEX(tblProducts[正式名稱],MATCH(tblService[[#This Row],[服務SKU]],tblProducts[SKU],0)),"")</f>
        <v/>
      </c>
    </row>
    <row r="277" spans="4:6" ht="19.95" customHeight="1">
      <c r="D277" t="str">
        <f>IFERROR(INDEX(tblCRM[姓名／稱呼],MATCH(tblService[[#This Row],[客戶ID]],tblCRM[客戶ID],0)),"")</f>
        <v/>
      </c>
      <c r="F277" t="str">
        <f>IFERROR(INDEX(tblProducts[正式名稱],MATCH(tblService[[#This Row],[服務SKU]],tblProducts[SKU],0)),"")</f>
        <v/>
      </c>
    </row>
    <row r="278" spans="4:6" ht="19.95" customHeight="1">
      <c r="D278" t="str">
        <f>IFERROR(INDEX(tblCRM[姓名／稱呼],MATCH(tblService[[#This Row],[客戶ID]],tblCRM[客戶ID],0)),"")</f>
        <v/>
      </c>
      <c r="F278" t="str">
        <f>IFERROR(INDEX(tblProducts[正式名稱],MATCH(tblService[[#This Row],[服務SKU]],tblProducts[SKU],0)),"")</f>
        <v/>
      </c>
    </row>
    <row r="279" spans="4:6" ht="19.95" customHeight="1">
      <c r="D279" t="str">
        <f>IFERROR(INDEX(tblCRM[姓名／稱呼],MATCH(tblService[[#This Row],[客戶ID]],tblCRM[客戶ID],0)),"")</f>
        <v/>
      </c>
      <c r="F279" t="str">
        <f>IFERROR(INDEX(tblProducts[正式名稱],MATCH(tblService[[#This Row],[服務SKU]],tblProducts[SKU],0)),"")</f>
        <v/>
      </c>
    </row>
    <row r="280" spans="4:6" ht="19.95" customHeight="1">
      <c r="D280" t="str">
        <f>IFERROR(INDEX(tblCRM[姓名／稱呼],MATCH(tblService[[#This Row],[客戶ID]],tblCRM[客戶ID],0)),"")</f>
        <v/>
      </c>
      <c r="F280" t="str">
        <f>IFERROR(INDEX(tblProducts[正式名稱],MATCH(tblService[[#This Row],[服務SKU]],tblProducts[SKU],0)),"")</f>
        <v/>
      </c>
    </row>
    <row r="281" spans="4:6" ht="19.95" customHeight="1">
      <c r="D281" t="str">
        <f>IFERROR(INDEX(tblCRM[姓名／稱呼],MATCH(tblService[[#This Row],[客戶ID]],tblCRM[客戶ID],0)),"")</f>
        <v/>
      </c>
      <c r="F281" t="str">
        <f>IFERROR(INDEX(tblProducts[正式名稱],MATCH(tblService[[#This Row],[服務SKU]],tblProducts[SKU],0)),"")</f>
        <v/>
      </c>
    </row>
    <row r="282" spans="4:6" ht="19.95" customHeight="1">
      <c r="D282" t="str">
        <f>IFERROR(INDEX(tblCRM[姓名／稱呼],MATCH(tblService[[#This Row],[客戶ID]],tblCRM[客戶ID],0)),"")</f>
        <v/>
      </c>
      <c r="F282" t="str">
        <f>IFERROR(INDEX(tblProducts[正式名稱],MATCH(tblService[[#This Row],[服務SKU]],tblProducts[SKU],0)),"")</f>
        <v/>
      </c>
    </row>
    <row r="283" spans="4:6" ht="19.95" customHeight="1">
      <c r="D283" t="str">
        <f>IFERROR(INDEX(tblCRM[姓名／稱呼],MATCH(tblService[[#This Row],[客戶ID]],tblCRM[客戶ID],0)),"")</f>
        <v/>
      </c>
      <c r="F283" t="str">
        <f>IFERROR(INDEX(tblProducts[正式名稱],MATCH(tblService[[#This Row],[服務SKU]],tblProducts[SKU],0)),"")</f>
        <v/>
      </c>
    </row>
    <row r="284" spans="4:6" ht="19.95" customHeight="1">
      <c r="D284" t="str">
        <f>IFERROR(INDEX(tblCRM[姓名／稱呼],MATCH(tblService[[#This Row],[客戶ID]],tblCRM[客戶ID],0)),"")</f>
        <v/>
      </c>
      <c r="F284" t="str">
        <f>IFERROR(INDEX(tblProducts[正式名稱],MATCH(tblService[[#This Row],[服務SKU]],tblProducts[SKU],0)),"")</f>
        <v/>
      </c>
    </row>
    <row r="285" spans="4:6" ht="19.95" customHeight="1">
      <c r="D285" t="str">
        <f>IFERROR(INDEX(tblCRM[姓名／稱呼],MATCH(tblService[[#This Row],[客戶ID]],tblCRM[客戶ID],0)),"")</f>
        <v/>
      </c>
      <c r="F285" t="str">
        <f>IFERROR(INDEX(tblProducts[正式名稱],MATCH(tblService[[#This Row],[服務SKU]],tblProducts[SKU],0)),"")</f>
        <v/>
      </c>
    </row>
    <row r="286" spans="4:6" ht="19.95" customHeight="1">
      <c r="D286" t="str">
        <f>IFERROR(INDEX(tblCRM[姓名／稱呼],MATCH(tblService[[#This Row],[客戶ID]],tblCRM[客戶ID],0)),"")</f>
        <v/>
      </c>
      <c r="F286" t="str">
        <f>IFERROR(INDEX(tblProducts[正式名稱],MATCH(tblService[[#This Row],[服務SKU]],tblProducts[SKU],0)),"")</f>
        <v/>
      </c>
    </row>
    <row r="287" spans="4:6" ht="19.95" customHeight="1">
      <c r="D287" t="str">
        <f>IFERROR(INDEX(tblCRM[姓名／稱呼],MATCH(tblService[[#This Row],[客戶ID]],tblCRM[客戶ID],0)),"")</f>
        <v/>
      </c>
      <c r="F287" t="str">
        <f>IFERROR(INDEX(tblProducts[正式名稱],MATCH(tblService[[#This Row],[服務SKU]],tblProducts[SKU],0)),"")</f>
        <v/>
      </c>
    </row>
    <row r="288" spans="4:6" ht="19.95" customHeight="1">
      <c r="D288" t="str">
        <f>IFERROR(INDEX(tblCRM[姓名／稱呼],MATCH(tblService[[#This Row],[客戶ID]],tblCRM[客戶ID],0)),"")</f>
        <v/>
      </c>
      <c r="F288" t="str">
        <f>IFERROR(INDEX(tblProducts[正式名稱],MATCH(tblService[[#This Row],[服務SKU]],tblProducts[SKU],0)),"")</f>
        <v/>
      </c>
    </row>
    <row r="289" spans="4:6" ht="19.95" customHeight="1">
      <c r="D289" t="str">
        <f>IFERROR(INDEX(tblCRM[姓名／稱呼],MATCH(tblService[[#This Row],[客戶ID]],tblCRM[客戶ID],0)),"")</f>
        <v/>
      </c>
      <c r="F289" t="str">
        <f>IFERROR(INDEX(tblProducts[正式名稱],MATCH(tblService[[#This Row],[服務SKU]],tblProducts[SKU],0)),"")</f>
        <v/>
      </c>
    </row>
    <row r="290" spans="4:6" ht="19.95" customHeight="1">
      <c r="D290" t="str">
        <f>IFERROR(INDEX(tblCRM[姓名／稱呼],MATCH(tblService[[#This Row],[客戶ID]],tblCRM[客戶ID],0)),"")</f>
        <v/>
      </c>
      <c r="F290" t="str">
        <f>IFERROR(INDEX(tblProducts[正式名稱],MATCH(tblService[[#This Row],[服務SKU]],tblProducts[SKU],0)),"")</f>
        <v/>
      </c>
    </row>
    <row r="291" spans="4:6" ht="19.95" customHeight="1">
      <c r="D291" t="str">
        <f>IFERROR(INDEX(tblCRM[姓名／稱呼],MATCH(tblService[[#This Row],[客戶ID]],tblCRM[客戶ID],0)),"")</f>
        <v/>
      </c>
      <c r="F291" t="str">
        <f>IFERROR(INDEX(tblProducts[正式名稱],MATCH(tblService[[#This Row],[服務SKU]],tblProducts[SKU],0)),"")</f>
        <v/>
      </c>
    </row>
    <row r="292" spans="4:6" ht="19.95" customHeight="1">
      <c r="D292" t="str">
        <f>IFERROR(INDEX(tblCRM[姓名／稱呼],MATCH(tblService[[#This Row],[客戶ID]],tblCRM[客戶ID],0)),"")</f>
        <v/>
      </c>
      <c r="F292" t="str">
        <f>IFERROR(INDEX(tblProducts[正式名稱],MATCH(tblService[[#This Row],[服務SKU]],tblProducts[SKU],0)),"")</f>
        <v/>
      </c>
    </row>
    <row r="293" spans="4:6" ht="19.95" customHeight="1">
      <c r="D293" t="str">
        <f>IFERROR(INDEX(tblCRM[姓名／稱呼],MATCH(tblService[[#This Row],[客戶ID]],tblCRM[客戶ID],0)),"")</f>
        <v/>
      </c>
      <c r="F293" t="str">
        <f>IFERROR(INDEX(tblProducts[正式名稱],MATCH(tblService[[#This Row],[服務SKU]],tblProducts[SKU],0)),"")</f>
        <v/>
      </c>
    </row>
    <row r="294" spans="4:6" ht="19.95" customHeight="1">
      <c r="D294" t="str">
        <f>IFERROR(INDEX(tblCRM[姓名／稱呼],MATCH(tblService[[#This Row],[客戶ID]],tblCRM[客戶ID],0)),"")</f>
        <v/>
      </c>
      <c r="F294" t="str">
        <f>IFERROR(INDEX(tblProducts[正式名稱],MATCH(tblService[[#This Row],[服務SKU]],tblProducts[SKU],0)),"")</f>
        <v/>
      </c>
    </row>
    <row r="295" spans="4:6" ht="19.95" customHeight="1">
      <c r="D295" t="str">
        <f>IFERROR(INDEX(tblCRM[姓名／稱呼],MATCH(tblService[[#This Row],[客戶ID]],tblCRM[客戶ID],0)),"")</f>
        <v/>
      </c>
      <c r="F295" t="str">
        <f>IFERROR(INDEX(tblProducts[正式名稱],MATCH(tblService[[#This Row],[服務SKU]],tblProducts[SKU],0)),"")</f>
        <v/>
      </c>
    </row>
    <row r="296" spans="4:6" ht="19.95" customHeight="1">
      <c r="D296" t="str">
        <f>IFERROR(INDEX(tblCRM[姓名／稱呼],MATCH(tblService[[#This Row],[客戶ID]],tblCRM[客戶ID],0)),"")</f>
        <v/>
      </c>
      <c r="F296" t="str">
        <f>IFERROR(INDEX(tblProducts[正式名稱],MATCH(tblService[[#This Row],[服務SKU]],tblProducts[SKU],0)),"")</f>
        <v/>
      </c>
    </row>
    <row r="297" spans="4:6" ht="19.95" customHeight="1">
      <c r="D297" t="str">
        <f>IFERROR(INDEX(tblCRM[姓名／稱呼],MATCH(tblService[[#This Row],[客戶ID]],tblCRM[客戶ID],0)),"")</f>
        <v/>
      </c>
      <c r="F297" t="str">
        <f>IFERROR(INDEX(tblProducts[正式名稱],MATCH(tblService[[#This Row],[服務SKU]],tblProducts[SKU],0)),"")</f>
        <v/>
      </c>
    </row>
    <row r="298" spans="4:6" ht="19.95" customHeight="1">
      <c r="D298" t="str">
        <f>IFERROR(INDEX(tblCRM[姓名／稱呼],MATCH(tblService[[#This Row],[客戶ID]],tblCRM[客戶ID],0)),"")</f>
        <v/>
      </c>
      <c r="F298" t="str">
        <f>IFERROR(INDEX(tblProducts[正式名稱],MATCH(tblService[[#This Row],[服務SKU]],tblProducts[SKU],0)),"")</f>
        <v/>
      </c>
    </row>
    <row r="299" spans="4:6" ht="19.95" customHeight="1">
      <c r="D299" t="str">
        <f>IFERROR(INDEX(tblCRM[姓名／稱呼],MATCH(tblService[[#This Row],[客戶ID]],tblCRM[客戶ID],0)),"")</f>
        <v/>
      </c>
      <c r="F299" t="str">
        <f>IFERROR(INDEX(tblProducts[正式名稱],MATCH(tblService[[#This Row],[服務SKU]],tblProducts[SKU],0)),"")</f>
        <v/>
      </c>
    </row>
    <row r="300" spans="4:6" ht="19.95" customHeight="1">
      <c r="D300" t="str">
        <f>IFERROR(INDEX(tblCRM[姓名／稱呼],MATCH(tblService[[#This Row],[客戶ID]],tblCRM[客戶ID],0)),"")</f>
        <v/>
      </c>
      <c r="F300" t="str">
        <f>IFERROR(INDEX(tblProducts[正式名稱],MATCH(tblService[[#This Row],[服務SKU]],tblProducts[SKU],0)),"")</f>
        <v/>
      </c>
    </row>
    <row r="301" spans="4:6" ht="19.95" customHeight="1">
      <c r="D301" t="str">
        <f>IFERROR(INDEX(tblCRM[姓名／稱呼],MATCH(tblService[[#This Row],[客戶ID]],tblCRM[客戶ID],0)),"")</f>
        <v/>
      </c>
      <c r="F301" t="str">
        <f>IFERROR(INDEX(tblProducts[正式名稱],MATCH(tblService[[#This Row],[服務SKU]],tblProducts[SKU],0)),"")</f>
        <v/>
      </c>
    </row>
    <row r="302" spans="4:6" ht="19.95" customHeight="1">
      <c r="D302" t="str">
        <f>IFERROR(INDEX(tblCRM[姓名／稱呼],MATCH(tblService[[#This Row],[客戶ID]],tblCRM[客戶ID],0)),"")</f>
        <v/>
      </c>
      <c r="F302" t="str">
        <f>IFERROR(INDEX(tblProducts[正式名稱],MATCH(tblService[[#This Row],[服務SKU]],tblProducts[SKU],0)),"")</f>
        <v/>
      </c>
    </row>
    <row r="303" spans="4:6" ht="19.95" customHeight="1">
      <c r="D303" t="str">
        <f>IFERROR(INDEX(tblCRM[姓名／稱呼],MATCH(tblService[[#This Row],[客戶ID]],tblCRM[客戶ID],0)),"")</f>
        <v/>
      </c>
      <c r="F303" t="str">
        <f>IFERROR(INDEX(tblProducts[正式名稱],MATCH(tblService[[#This Row],[服務SKU]],tblProducts[SKU],0)),"")</f>
        <v/>
      </c>
    </row>
    <row r="304" spans="4:6" ht="19.95" customHeight="1">
      <c r="D304" t="str">
        <f>IFERROR(INDEX(tblCRM[姓名／稱呼],MATCH(tblService[[#This Row],[客戶ID]],tblCRM[客戶ID],0)),"")</f>
        <v/>
      </c>
      <c r="F304" t="str">
        <f>IFERROR(INDEX(tblProducts[正式名稱],MATCH(tblService[[#This Row],[服務SKU]],tblProducts[SKU],0)),"")</f>
        <v/>
      </c>
    </row>
  </sheetData>
  <mergeCells count="2">
    <mergeCell ref="A1:M1"/>
    <mergeCell ref="A2:M2"/>
  </mergeCells>
  <phoneticPr fontId="8" type="noConversion"/>
  <dataValidations count="4">
    <dataValidation type="list" allowBlank="1" showInputMessage="1" showErrorMessage="1" sqref="E5:E304 L5:L304" xr:uid="{00000000-0002-0000-0900-000000000000}">
      <formula1>SKU_LIST</formula1>
    </dataValidation>
    <dataValidation type="list" allowBlank="1" showInputMessage="1" showErrorMessage="1" sqref="H5:H304" xr:uid="{00000000-0002-0000-0900-000001000000}">
      <formula1>FIVE_DIM_LIST</formula1>
    </dataValidation>
    <dataValidation type="list" allowBlank="1" showInputMessage="1" showErrorMessage="1" sqref="O5:O304" xr:uid="{00000000-0002-0000-0900-000003000000}">
      <formula1>PRIVACY_LEVEL</formula1>
    </dataValidation>
    <dataValidation type="list" allowBlank="1" showInputMessage="1" showErrorMessage="1" sqref="P5:P304" xr:uid="{00000000-0002-0000-0900-000004000000}">
      <formula1>OWNER_LIST</formula1>
    </dataValidation>
  </dataValidations>
  <pageMargins left="0.25" right="0.25" top="0.4" bottom="0.4" header="0.3" footer="0.3"/>
  <pageSetup fitToHeight="0" orientation="landscape"/>
  <headerFooter>
    <oddHeader>&amp;L希望之光 Hope Light&amp;C品牌營運管理系統&amp;R&amp;D</oddHeader>
    <oddFooter>&amp;L[Codex] 初版｜待確認資料不可直接對外&amp;R第 &amp;P / &amp;N 頁</oddFooter>
  </headerFooter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243B5A"/>
    <pageSetUpPr fitToPage="1"/>
  </sheetPr>
  <dimension ref="A1:N304"/>
  <sheetViews>
    <sheetView showGridLines="0" workbookViewId="0">
      <pane ySplit="4" topLeftCell="A5" activePane="bottomLeft" state="frozen"/>
      <selection pane="bottomLeft"/>
    </sheetView>
  </sheetViews>
  <sheetFormatPr defaultRowHeight="19.95" customHeight="1"/>
  <cols>
    <col min="1" max="1" width="16.75" customWidth="1"/>
    <col min="2" max="2" width="15.75" customWidth="1"/>
    <col min="3" max="5" width="18.75" customWidth="1"/>
    <col min="6" max="6" width="13.75" style="8" customWidth="1"/>
    <col min="7" max="7" width="34.75" customWidth="1"/>
    <col min="8" max="8" width="55.75" customWidth="1"/>
    <col min="9" max="9" width="13.75" customWidth="1"/>
    <col min="10" max="10" width="13.75" style="8" customWidth="1"/>
    <col min="11" max="11" width="30.75" customWidth="1"/>
    <col min="12" max="12" width="13.75" style="8" customWidth="1"/>
    <col min="13" max="13" width="12.75" customWidth="1"/>
    <col min="14" max="14" width="40.75" customWidth="1"/>
  </cols>
  <sheetData>
    <row r="1" spans="1:14" ht="34.049999999999997" customHeight="1">
      <c r="A1" s="9" t="s">
        <v>759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2" spans="1:14" ht="31.05" customHeight="1">
      <c r="A2" s="10" t="s">
        <v>760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4" spans="1:14" ht="19.95" customHeight="1">
      <c r="A4" t="s">
        <v>761</v>
      </c>
      <c r="B4" t="s">
        <v>690</v>
      </c>
      <c r="C4" t="s">
        <v>691</v>
      </c>
      <c r="D4" t="s">
        <v>762</v>
      </c>
      <c r="E4" t="s">
        <v>763</v>
      </c>
      <c r="F4" s="8" t="s">
        <v>764</v>
      </c>
      <c r="G4" t="s">
        <v>765</v>
      </c>
      <c r="H4" t="s">
        <v>766</v>
      </c>
      <c r="I4" t="s">
        <v>79</v>
      </c>
      <c r="J4" s="8" t="s">
        <v>767</v>
      </c>
      <c r="K4" t="s">
        <v>768</v>
      </c>
      <c r="L4" s="8" t="s">
        <v>769</v>
      </c>
      <c r="M4" t="s">
        <v>703</v>
      </c>
      <c r="N4" t="s">
        <v>415</v>
      </c>
    </row>
    <row r="5" spans="1:14" ht="19.95" customHeight="1">
      <c r="C5" t="str">
        <f>IFERROR(INDEX(tblCRM[姓名／稱呼],MATCH(tblFollowup[[#This Row],[客戶ID]],tblCRM[客戶ID],0)),"")</f>
        <v/>
      </c>
    </row>
    <row r="6" spans="1:14" ht="19.95" customHeight="1">
      <c r="C6" t="str">
        <f>IFERROR(INDEX(tblCRM[姓名／稱呼],MATCH(tblFollowup[[#This Row],[客戶ID]],tblCRM[客戶ID],0)),"")</f>
        <v/>
      </c>
    </row>
    <row r="7" spans="1:14" ht="19.95" customHeight="1">
      <c r="C7" t="str">
        <f>IFERROR(INDEX(tblCRM[姓名／稱呼],MATCH(tblFollowup[[#This Row],[客戶ID]],tblCRM[客戶ID],0)),"")</f>
        <v/>
      </c>
    </row>
    <row r="8" spans="1:14" ht="19.95" customHeight="1">
      <c r="C8" t="str">
        <f>IFERROR(INDEX(tblCRM[姓名／稱呼],MATCH(tblFollowup[[#This Row],[客戶ID]],tblCRM[客戶ID],0)),"")</f>
        <v/>
      </c>
    </row>
    <row r="9" spans="1:14" ht="19.95" customHeight="1">
      <c r="C9" t="str">
        <f>IFERROR(INDEX(tblCRM[姓名／稱呼],MATCH(tblFollowup[[#This Row],[客戶ID]],tblCRM[客戶ID],0)),"")</f>
        <v/>
      </c>
    </row>
    <row r="10" spans="1:14" ht="19.95" customHeight="1">
      <c r="C10" t="str">
        <f>IFERROR(INDEX(tblCRM[姓名／稱呼],MATCH(tblFollowup[[#This Row],[客戶ID]],tblCRM[客戶ID],0)),"")</f>
        <v/>
      </c>
    </row>
    <row r="11" spans="1:14" ht="19.95" customHeight="1">
      <c r="C11" t="str">
        <f>IFERROR(INDEX(tblCRM[姓名／稱呼],MATCH(tblFollowup[[#This Row],[客戶ID]],tblCRM[客戶ID],0)),"")</f>
        <v/>
      </c>
    </row>
    <row r="12" spans="1:14" ht="19.95" customHeight="1">
      <c r="C12" t="str">
        <f>IFERROR(INDEX(tblCRM[姓名／稱呼],MATCH(tblFollowup[[#This Row],[客戶ID]],tblCRM[客戶ID],0)),"")</f>
        <v/>
      </c>
    </row>
    <row r="13" spans="1:14" ht="19.95" customHeight="1">
      <c r="C13" t="str">
        <f>IFERROR(INDEX(tblCRM[姓名／稱呼],MATCH(tblFollowup[[#This Row],[客戶ID]],tblCRM[客戶ID],0)),"")</f>
        <v/>
      </c>
    </row>
    <row r="14" spans="1:14" ht="19.95" customHeight="1">
      <c r="C14" t="str">
        <f>IFERROR(INDEX(tblCRM[姓名／稱呼],MATCH(tblFollowup[[#This Row],[客戶ID]],tblCRM[客戶ID],0)),"")</f>
        <v/>
      </c>
    </row>
    <row r="15" spans="1:14" ht="19.95" customHeight="1">
      <c r="C15" t="str">
        <f>IFERROR(INDEX(tblCRM[姓名／稱呼],MATCH(tblFollowup[[#This Row],[客戶ID]],tblCRM[客戶ID],0)),"")</f>
        <v/>
      </c>
    </row>
    <row r="16" spans="1:14" ht="19.95" customHeight="1">
      <c r="C16" t="str">
        <f>IFERROR(INDEX(tblCRM[姓名／稱呼],MATCH(tblFollowup[[#This Row],[客戶ID]],tblCRM[客戶ID],0)),"")</f>
        <v/>
      </c>
    </row>
    <row r="17" spans="3:3" ht="19.95" customHeight="1">
      <c r="C17" t="str">
        <f>IFERROR(INDEX(tblCRM[姓名／稱呼],MATCH(tblFollowup[[#This Row],[客戶ID]],tblCRM[客戶ID],0)),"")</f>
        <v/>
      </c>
    </row>
    <row r="18" spans="3:3" ht="19.95" customHeight="1">
      <c r="C18" t="str">
        <f>IFERROR(INDEX(tblCRM[姓名／稱呼],MATCH(tblFollowup[[#This Row],[客戶ID]],tblCRM[客戶ID],0)),"")</f>
        <v/>
      </c>
    </row>
    <row r="19" spans="3:3" ht="19.95" customHeight="1">
      <c r="C19" t="str">
        <f>IFERROR(INDEX(tblCRM[姓名／稱呼],MATCH(tblFollowup[[#This Row],[客戶ID]],tblCRM[客戶ID],0)),"")</f>
        <v/>
      </c>
    </row>
    <row r="20" spans="3:3" ht="19.95" customHeight="1">
      <c r="C20" t="str">
        <f>IFERROR(INDEX(tblCRM[姓名／稱呼],MATCH(tblFollowup[[#This Row],[客戶ID]],tblCRM[客戶ID],0)),"")</f>
        <v/>
      </c>
    </row>
    <row r="21" spans="3:3" ht="19.95" customHeight="1">
      <c r="C21" t="str">
        <f>IFERROR(INDEX(tblCRM[姓名／稱呼],MATCH(tblFollowup[[#This Row],[客戶ID]],tblCRM[客戶ID],0)),"")</f>
        <v/>
      </c>
    </row>
    <row r="22" spans="3:3" ht="19.95" customHeight="1">
      <c r="C22" t="str">
        <f>IFERROR(INDEX(tblCRM[姓名／稱呼],MATCH(tblFollowup[[#This Row],[客戶ID]],tblCRM[客戶ID],0)),"")</f>
        <v/>
      </c>
    </row>
    <row r="23" spans="3:3" ht="19.95" customHeight="1">
      <c r="C23" t="str">
        <f>IFERROR(INDEX(tblCRM[姓名／稱呼],MATCH(tblFollowup[[#This Row],[客戶ID]],tblCRM[客戶ID],0)),"")</f>
        <v/>
      </c>
    </row>
    <row r="24" spans="3:3" ht="19.95" customHeight="1">
      <c r="C24" t="str">
        <f>IFERROR(INDEX(tblCRM[姓名／稱呼],MATCH(tblFollowup[[#This Row],[客戶ID]],tblCRM[客戶ID],0)),"")</f>
        <v/>
      </c>
    </row>
    <row r="25" spans="3:3" ht="19.95" customHeight="1">
      <c r="C25" t="str">
        <f>IFERROR(INDEX(tblCRM[姓名／稱呼],MATCH(tblFollowup[[#This Row],[客戶ID]],tblCRM[客戶ID],0)),"")</f>
        <v/>
      </c>
    </row>
    <row r="26" spans="3:3" ht="19.95" customHeight="1">
      <c r="C26" t="str">
        <f>IFERROR(INDEX(tblCRM[姓名／稱呼],MATCH(tblFollowup[[#This Row],[客戶ID]],tblCRM[客戶ID],0)),"")</f>
        <v/>
      </c>
    </row>
    <row r="27" spans="3:3" ht="19.95" customHeight="1">
      <c r="C27" t="str">
        <f>IFERROR(INDEX(tblCRM[姓名／稱呼],MATCH(tblFollowup[[#This Row],[客戶ID]],tblCRM[客戶ID],0)),"")</f>
        <v/>
      </c>
    </row>
    <row r="28" spans="3:3" ht="19.95" customHeight="1">
      <c r="C28" t="str">
        <f>IFERROR(INDEX(tblCRM[姓名／稱呼],MATCH(tblFollowup[[#This Row],[客戶ID]],tblCRM[客戶ID],0)),"")</f>
        <v/>
      </c>
    </row>
    <row r="29" spans="3:3" ht="19.95" customHeight="1">
      <c r="C29" t="str">
        <f>IFERROR(INDEX(tblCRM[姓名／稱呼],MATCH(tblFollowup[[#This Row],[客戶ID]],tblCRM[客戶ID],0)),"")</f>
        <v/>
      </c>
    </row>
    <row r="30" spans="3:3" ht="19.95" customHeight="1">
      <c r="C30" t="str">
        <f>IFERROR(INDEX(tblCRM[姓名／稱呼],MATCH(tblFollowup[[#This Row],[客戶ID]],tblCRM[客戶ID],0)),"")</f>
        <v/>
      </c>
    </row>
    <row r="31" spans="3:3" ht="19.95" customHeight="1">
      <c r="C31" t="str">
        <f>IFERROR(INDEX(tblCRM[姓名／稱呼],MATCH(tblFollowup[[#This Row],[客戶ID]],tblCRM[客戶ID],0)),"")</f>
        <v/>
      </c>
    </row>
    <row r="32" spans="3:3" ht="19.95" customHeight="1">
      <c r="C32" t="str">
        <f>IFERROR(INDEX(tblCRM[姓名／稱呼],MATCH(tblFollowup[[#This Row],[客戶ID]],tblCRM[客戶ID],0)),"")</f>
        <v/>
      </c>
    </row>
    <row r="33" spans="3:3" ht="19.95" customHeight="1">
      <c r="C33" t="str">
        <f>IFERROR(INDEX(tblCRM[姓名／稱呼],MATCH(tblFollowup[[#This Row],[客戶ID]],tblCRM[客戶ID],0)),"")</f>
        <v/>
      </c>
    </row>
    <row r="34" spans="3:3" ht="19.95" customHeight="1">
      <c r="C34" t="str">
        <f>IFERROR(INDEX(tblCRM[姓名／稱呼],MATCH(tblFollowup[[#This Row],[客戶ID]],tblCRM[客戶ID],0)),"")</f>
        <v/>
      </c>
    </row>
    <row r="35" spans="3:3" ht="19.95" customHeight="1">
      <c r="C35" t="str">
        <f>IFERROR(INDEX(tblCRM[姓名／稱呼],MATCH(tblFollowup[[#This Row],[客戶ID]],tblCRM[客戶ID],0)),"")</f>
        <v/>
      </c>
    </row>
    <row r="36" spans="3:3" ht="19.95" customHeight="1">
      <c r="C36" t="str">
        <f>IFERROR(INDEX(tblCRM[姓名／稱呼],MATCH(tblFollowup[[#This Row],[客戶ID]],tblCRM[客戶ID],0)),"")</f>
        <v/>
      </c>
    </row>
    <row r="37" spans="3:3" ht="19.95" customHeight="1">
      <c r="C37" t="str">
        <f>IFERROR(INDEX(tblCRM[姓名／稱呼],MATCH(tblFollowup[[#This Row],[客戶ID]],tblCRM[客戶ID],0)),"")</f>
        <v/>
      </c>
    </row>
    <row r="38" spans="3:3" ht="19.95" customHeight="1">
      <c r="C38" t="str">
        <f>IFERROR(INDEX(tblCRM[姓名／稱呼],MATCH(tblFollowup[[#This Row],[客戶ID]],tblCRM[客戶ID],0)),"")</f>
        <v/>
      </c>
    </row>
    <row r="39" spans="3:3" ht="19.95" customHeight="1">
      <c r="C39" t="str">
        <f>IFERROR(INDEX(tblCRM[姓名／稱呼],MATCH(tblFollowup[[#This Row],[客戶ID]],tblCRM[客戶ID],0)),"")</f>
        <v/>
      </c>
    </row>
    <row r="40" spans="3:3" ht="19.95" customHeight="1">
      <c r="C40" t="str">
        <f>IFERROR(INDEX(tblCRM[姓名／稱呼],MATCH(tblFollowup[[#This Row],[客戶ID]],tblCRM[客戶ID],0)),"")</f>
        <v/>
      </c>
    </row>
    <row r="41" spans="3:3" ht="19.95" customHeight="1">
      <c r="C41" t="str">
        <f>IFERROR(INDEX(tblCRM[姓名／稱呼],MATCH(tblFollowup[[#This Row],[客戶ID]],tblCRM[客戶ID],0)),"")</f>
        <v/>
      </c>
    </row>
    <row r="42" spans="3:3" ht="19.95" customHeight="1">
      <c r="C42" t="str">
        <f>IFERROR(INDEX(tblCRM[姓名／稱呼],MATCH(tblFollowup[[#This Row],[客戶ID]],tblCRM[客戶ID],0)),"")</f>
        <v/>
      </c>
    </row>
    <row r="43" spans="3:3" ht="19.95" customHeight="1">
      <c r="C43" t="str">
        <f>IFERROR(INDEX(tblCRM[姓名／稱呼],MATCH(tblFollowup[[#This Row],[客戶ID]],tblCRM[客戶ID],0)),"")</f>
        <v/>
      </c>
    </row>
    <row r="44" spans="3:3" ht="19.95" customHeight="1">
      <c r="C44" t="str">
        <f>IFERROR(INDEX(tblCRM[姓名／稱呼],MATCH(tblFollowup[[#This Row],[客戶ID]],tblCRM[客戶ID],0)),"")</f>
        <v/>
      </c>
    </row>
    <row r="45" spans="3:3" ht="19.95" customHeight="1">
      <c r="C45" t="str">
        <f>IFERROR(INDEX(tblCRM[姓名／稱呼],MATCH(tblFollowup[[#This Row],[客戶ID]],tblCRM[客戶ID],0)),"")</f>
        <v/>
      </c>
    </row>
    <row r="46" spans="3:3" ht="19.95" customHeight="1">
      <c r="C46" t="str">
        <f>IFERROR(INDEX(tblCRM[姓名／稱呼],MATCH(tblFollowup[[#This Row],[客戶ID]],tblCRM[客戶ID],0)),"")</f>
        <v/>
      </c>
    </row>
    <row r="47" spans="3:3" ht="19.95" customHeight="1">
      <c r="C47" t="str">
        <f>IFERROR(INDEX(tblCRM[姓名／稱呼],MATCH(tblFollowup[[#This Row],[客戶ID]],tblCRM[客戶ID],0)),"")</f>
        <v/>
      </c>
    </row>
    <row r="48" spans="3:3" ht="19.95" customHeight="1">
      <c r="C48" t="str">
        <f>IFERROR(INDEX(tblCRM[姓名／稱呼],MATCH(tblFollowup[[#This Row],[客戶ID]],tblCRM[客戶ID],0)),"")</f>
        <v/>
      </c>
    </row>
    <row r="49" spans="3:3" ht="19.95" customHeight="1">
      <c r="C49" t="str">
        <f>IFERROR(INDEX(tblCRM[姓名／稱呼],MATCH(tblFollowup[[#This Row],[客戶ID]],tblCRM[客戶ID],0)),"")</f>
        <v/>
      </c>
    </row>
    <row r="50" spans="3:3" ht="19.95" customHeight="1">
      <c r="C50" t="str">
        <f>IFERROR(INDEX(tblCRM[姓名／稱呼],MATCH(tblFollowup[[#This Row],[客戶ID]],tblCRM[客戶ID],0)),"")</f>
        <v/>
      </c>
    </row>
    <row r="51" spans="3:3" ht="19.95" customHeight="1">
      <c r="C51" t="str">
        <f>IFERROR(INDEX(tblCRM[姓名／稱呼],MATCH(tblFollowup[[#This Row],[客戶ID]],tblCRM[客戶ID],0)),"")</f>
        <v/>
      </c>
    </row>
    <row r="52" spans="3:3" ht="19.95" customHeight="1">
      <c r="C52" t="str">
        <f>IFERROR(INDEX(tblCRM[姓名／稱呼],MATCH(tblFollowup[[#This Row],[客戶ID]],tblCRM[客戶ID],0)),"")</f>
        <v/>
      </c>
    </row>
    <row r="53" spans="3:3" ht="19.95" customHeight="1">
      <c r="C53" t="str">
        <f>IFERROR(INDEX(tblCRM[姓名／稱呼],MATCH(tblFollowup[[#This Row],[客戶ID]],tblCRM[客戶ID],0)),"")</f>
        <v/>
      </c>
    </row>
    <row r="54" spans="3:3" ht="19.95" customHeight="1">
      <c r="C54" t="str">
        <f>IFERROR(INDEX(tblCRM[姓名／稱呼],MATCH(tblFollowup[[#This Row],[客戶ID]],tblCRM[客戶ID],0)),"")</f>
        <v/>
      </c>
    </row>
    <row r="55" spans="3:3" ht="19.95" customHeight="1">
      <c r="C55" t="str">
        <f>IFERROR(INDEX(tblCRM[姓名／稱呼],MATCH(tblFollowup[[#This Row],[客戶ID]],tblCRM[客戶ID],0)),"")</f>
        <v/>
      </c>
    </row>
    <row r="56" spans="3:3" ht="19.95" customHeight="1">
      <c r="C56" t="str">
        <f>IFERROR(INDEX(tblCRM[姓名／稱呼],MATCH(tblFollowup[[#This Row],[客戶ID]],tblCRM[客戶ID],0)),"")</f>
        <v/>
      </c>
    </row>
    <row r="57" spans="3:3" ht="19.95" customHeight="1">
      <c r="C57" t="str">
        <f>IFERROR(INDEX(tblCRM[姓名／稱呼],MATCH(tblFollowup[[#This Row],[客戶ID]],tblCRM[客戶ID],0)),"")</f>
        <v/>
      </c>
    </row>
    <row r="58" spans="3:3" ht="19.95" customHeight="1">
      <c r="C58" t="str">
        <f>IFERROR(INDEX(tblCRM[姓名／稱呼],MATCH(tblFollowup[[#This Row],[客戶ID]],tblCRM[客戶ID],0)),"")</f>
        <v/>
      </c>
    </row>
    <row r="59" spans="3:3" ht="19.95" customHeight="1">
      <c r="C59" t="str">
        <f>IFERROR(INDEX(tblCRM[姓名／稱呼],MATCH(tblFollowup[[#This Row],[客戶ID]],tblCRM[客戶ID],0)),"")</f>
        <v/>
      </c>
    </row>
    <row r="60" spans="3:3" ht="19.95" customHeight="1">
      <c r="C60" t="str">
        <f>IFERROR(INDEX(tblCRM[姓名／稱呼],MATCH(tblFollowup[[#This Row],[客戶ID]],tblCRM[客戶ID],0)),"")</f>
        <v/>
      </c>
    </row>
    <row r="61" spans="3:3" ht="19.95" customHeight="1">
      <c r="C61" t="str">
        <f>IFERROR(INDEX(tblCRM[姓名／稱呼],MATCH(tblFollowup[[#This Row],[客戶ID]],tblCRM[客戶ID],0)),"")</f>
        <v/>
      </c>
    </row>
    <row r="62" spans="3:3" ht="19.95" customHeight="1">
      <c r="C62" t="str">
        <f>IFERROR(INDEX(tblCRM[姓名／稱呼],MATCH(tblFollowup[[#This Row],[客戶ID]],tblCRM[客戶ID],0)),"")</f>
        <v/>
      </c>
    </row>
    <row r="63" spans="3:3" ht="19.95" customHeight="1">
      <c r="C63" t="str">
        <f>IFERROR(INDEX(tblCRM[姓名／稱呼],MATCH(tblFollowup[[#This Row],[客戶ID]],tblCRM[客戶ID],0)),"")</f>
        <v/>
      </c>
    </row>
    <row r="64" spans="3:3" ht="19.95" customHeight="1">
      <c r="C64" t="str">
        <f>IFERROR(INDEX(tblCRM[姓名／稱呼],MATCH(tblFollowup[[#This Row],[客戶ID]],tblCRM[客戶ID],0)),"")</f>
        <v/>
      </c>
    </row>
    <row r="65" spans="3:3" ht="19.95" customHeight="1">
      <c r="C65" t="str">
        <f>IFERROR(INDEX(tblCRM[姓名／稱呼],MATCH(tblFollowup[[#This Row],[客戶ID]],tblCRM[客戶ID],0)),"")</f>
        <v/>
      </c>
    </row>
    <row r="66" spans="3:3" ht="19.95" customHeight="1">
      <c r="C66" t="str">
        <f>IFERROR(INDEX(tblCRM[姓名／稱呼],MATCH(tblFollowup[[#This Row],[客戶ID]],tblCRM[客戶ID],0)),"")</f>
        <v/>
      </c>
    </row>
    <row r="67" spans="3:3" ht="19.95" customHeight="1">
      <c r="C67" t="str">
        <f>IFERROR(INDEX(tblCRM[姓名／稱呼],MATCH(tblFollowup[[#This Row],[客戶ID]],tblCRM[客戶ID],0)),"")</f>
        <v/>
      </c>
    </row>
    <row r="68" spans="3:3" ht="19.95" customHeight="1">
      <c r="C68" t="str">
        <f>IFERROR(INDEX(tblCRM[姓名／稱呼],MATCH(tblFollowup[[#This Row],[客戶ID]],tblCRM[客戶ID],0)),"")</f>
        <v/>
      </c>
    </row>
    <row r="69" spans="3:3" ht="19.95" customHeight="1">
      <c r="C69" t="str">
        <f>IFERROR(INDEX(tblCRM[姓名／稱呼],MATCH(tblFollowup[[#This Row],[客戶ID]],tblCRM[客戶ID],0)),"")</f>
        <v/>
      </c>
    </row>
    <row r="70" spans="3:3" ht="19.95" customHeight="1">
      <c r="C70" t="str">
        <f>IFERROR(INDEX(tblCRM[姓名／稱呼],MATCH(tblFollowup[[#This Row],[客戶ID]],tblCRM[客戶ID],0)),"")</f>
        <v/>
      </c>
    </row>
    <row r="71" spans="3:3" ht="19.95" customHeight="1">
      <c r="C71" t="str">
        <f>IFERROR(INDEX(tblCRM[姓名／稱呼],MATCH(tblFollowup[[#This Row],[客戶ID]],tblCRM[客戶ID],0)),"")</f>
        <v/>
      </c>
    </row>
    <row r="72" spans="3:3" ht="19.95" customHeight="1">
      <c r="C72" t="str">
        <f>IFERROR(INDEX(tblCRM[姓名／稱呼],MATCH(tblFollowup[[#This Row],[客戶ID]],tblCRM[客戶ID],0)),"")</f>
        <v/>
      </c>
    </row>
    <row r="73" spans="3:3" ht="19.95" customHeight="1">
      <c r="C73" t="str">
        <f>IFERROR(INDEX(tblCRM[姓名／稱呼],MATCH(tblFollowup[[#This Row],[客戶ID]],tblCRM[客戶ID],0)),"")</f>
        <v/>
      </c>
    </row>
    <row r="74" spans="3:3" ht="19.95" customHeight="1">
      <c r="C74" t="str">
        <f>IFERROR(INDEX(tblCRM[姓名／稱呼],MATCH(tblFollowup[[#This Row],[客戶ID]],tblCRM[客戶ID],0)),"")</f>
        <v/>
      </c>
    </row>
    <row r="75" spans="3:3" ht="19.95" customHeight="1">
      <c r="C75" t="str">
        <f>IFERROR(INDEX(tblCRM[姓名／稱呼],MATCH(tblFollowup[[#This Row],[客戶ID]],tblCRM[客戶ID],0)),"")</f>
        <v/>
      </c>
    </row>
    <row r="76" spans="3:3" ht="19.95" customHeight="1">
      <c r="C76" t="str">
        <f>IFERROR(INDEX(tblCRM[姓名／稱呼],MATCH(tblFollowup[[#This Row],[客戶ID]],tblCRM[客戶ID],0)),"")</f>
        <v/>
      </c>
    </row>
    <row r="77" spans="3:3" ht="19.95" customHeight="1">
      <c r="C77" t="str">
        <f>IFERROR(INDEX(tblCRM[姓名／稱呼],MATCH(tblFollowup[[#This Row],[客戶ID]],tblCRM[客戶ID],0)),"")</f>
        <v/>
      </c>
    </row>
    <row r="78" spans="3:3" ht="19.95" customHeight="1">
      <c r="C78" t="str">
        <f>IFERROR(INDEX(tblCRM[姓名／稱呼],MATCH(tblFollowup[[#This Row],[客戶ID]],tblCRM[客戶ID],0)),"")</f>
        <v/>
      </c>
    </row>
    <row r="79" spans="3:3" ht="19.95" customHeight="1">
      <c r="C79" t="str">
        <f>IFERROR(INDEX(tblCRM[姓名／稱呼],MATCH(tblFollowup[[#This Row],[客戶ID]],tblCRM[客戶ID],0)),"")</f>
        <v/>
      </c>
    </row>
    <row r="80" spans="3:3" ht="19.95" customHeight="1">
      <c r="C80" t="str">
        <f>IFERROR(INDEX(tblCRM[姓名／稱呼],MATCH(tblFollowup[[#This Row],[客戶ID]],tblCRM[客戶ID],0)),"")</f>
        <v/>
      </c>
    </row>
    <row r="81" spans="3:3" ht="19.95" customHeight="1">
      <c r="C81" t="str">
        <f>IFERROR(INDEX(tblCRM[姓名／稱呼],MATCH(tblFollowup[[#This Row],[客戶ID]],tblCRM[客戶ID],0)),"")</f>
        <v/>
      </c>
    </row>
    <row r="82" spans="3:3" ht="19.95" customHeight="1">
      <c r="C82" t="str">
        <f>IFERROR(INDEX(tblCRM[姓名／稱呼],MATCH(tblFollowup[[#This Row],[客戶ID]],tblCRM[客戶ID],0)),"")</f>
        <v/>
      </c>
    </row>
    <row r="83" spans="3:3" ht="19.95" customHeight="1">
      <c r="C83" t="str">
        <f>IFERROR(INDEX(tblCRM[姓名／稱呼],MATCH(tblFollowup[[#This Row],[客戶ID]],tblCRM[客戶ID],0)),"")</f>
        <v/>
      </c>
    </row>
    <row r="84" spans="3:3" ht="19.95" customHeight="1">
      <c r="C84" t="str">
        <f>IFERROR(INDEX(tblCRM[姓名／稱呼],MATCH(tblFollowup[[#This Row],[客戶ID]],tblCRM[客戶ID],0)),"")</f>
        <v/>
      </c>
    </row>
    <row r="85" spans="3:3" ht="19.95" customHeight="1">
      <c r="C85" t="str">
        <f>IFERROR(INDEX(tblCRM[姓名／稱呼],MATCH(tblFollowup[[#This Row],[客戶ID]],tblCRM[客戶ID],0)),"")</f>
        <v/>
      </c>
    </row>
    <row r="86" spans="3:3" ht="19.95" customHeight="1">
      <c r="C86" t="str">
        <f>IFERROR(INDEX(tblCRM[姓名／稱呼],MATCH(tblFollowup[[#This Row],[客戶ID]],tblCRM[客戶ID],0)),"")</f>
        <v/>
      </c>
    </row>
    <row r="87" spans="3:3" ht="19.95" customHeight="1">
      <c r="C87" t="str">
        <f>IFERROR(INDEX(tblCRM[姓名／稱呼],MATCH(tblFollowup[[#This Row],[客戶ID]],tblCRM[客戶ID],0)),"")</f>
        <v/>
      </c>
    </row>
    <row r="88" spans="3:3" ht="19.95" customHeight="1">
      <c r="C88" t="str">
        <f>IFERROR(INDEX(tblCRM[姓名／稱呼],MATCH(tblFollowup[[#This Row],[客戶ID]],tblCRM[客戶ID],0)),"")</f>
        <v/>
      </c>
    </row>
    <row r="89" spans="3:3" ht="19.95" customHeight="1">
      <c r="C89" t="str">
        <f>IFERROR(INDEX(tblCRM[姓名／稱呼],MATCH(tblFollowup[[#This Row],[客戶ID]],tblCRM[客戶ID],0)),"")</f>
        <v/>
      </c>
    </row>
    <row r="90" spans="3:3" ht="19.95" customHeight="1">
      <c r="C90" t="str">
        <f>IFERROR(INDEX(tblCRM[姓名／稱呼],MATCH(tblFollowup[[#This Row],[客戶ID]],tblCRM[客戶ID],0)),"")</f>
        <v/>
      </c>
    </row>
    <row r="91" spans="3:3" ht="19.95" customHeight="1">
      <c r="C91" t="str">
        <f>IFERROR(INDEX(tblCRM[姓名／稱呼],MATCH(tblFollowup[[#This Row],[客戶ID]],tblCRM[客戶ID],0)),"")</f>
        <v/>
      </c>
    </row>
    <row r="92" spans="3:3" ht="19.95" customHeight="1">
      <c r="C92" t="str">
        <f>IFERROR(INDEX(tblCRM[姓名／稱呼],MATCH(tblFollowup[[#This Row],[客戶ID]],tblCRM[客戶ID],0)),"")</f>
        <v/>
      </c>
    </row>
    <row r="93" spans="3:3" ht="19.95" customHeight="1">
      <c r="C93" t="str">
        <f>IFERROR(INDEX(tblCRM[姓名／稱呼],MATCH(tblFollowup[[#This Row],[客戶ID]],tblCRM[客戶ID],0)),"")</f>
        <v/>
      </c>
    </row>
    <row r="94" spans="3:3" ht="19.95" customHeight="1">
      <c r="C94" t="str">
        <f>IFERROR(INDEX(tblCRM[姓名／稱呼],MATCH(tblFollowup[[#This Row],[客戶ID]],tblCRM[客戶ID],0)),"")</f>
        <v/>
      </c>
    </row>
    <row r="95" spans="3:3" ht="19.95" customHeight="1">
      <c r="C95" t="str">
        <f>IFERROR(INDEX(tblCRM[姓名／稱呼],MATCH(tblFollowup[[#This Row],[客戶ID]],tblCRM[客戶ID],0)),"")</f>
        <v/>
      </c>
    </row>
    <row r="96" spans="3:3" ht="19.95" customHeight="1">
      <c r="C96" t="str">
        <f>IFERROR(INDEX(tblCRM[姓名／稱呼],MATCH(tblFollowup[[#This Row],[客戶ID]],tblCRM[客戶ID],0)),"")</f>
        <v/>
      </c>
    </row>
    <row r="97" spans="3:3" ht="19.95" customHeight="1">
      <c r="C97" t="str">
        <f>IFERROR(INDEX(tblCRM[姓名／稱呼],MATCH(tblFollowup[[#This Row],[客戶ID]],tblCRM[客戶ID],0)),"")</f>
        <v/>
      </c>
    </row>
    <row r="98" spans="3:3" ht="19.95" customHeight="1">
      <c r="C98" t="str">
        <f>IFERROR(INDEX(tblCRM[姓名／稱呼],MATCH(tblFollowup[[#This Row],[客戶ID]],tblCRM[客戶ID],0)),"")</f>
        <v/>
      </c>
    </row>
    <row r="99" spans="3:3" ht="19.95" customHeight="1">
      <c r="C99" t="str">
        <f>IFERROR(INDEX(tblCRM[姓名／稱呼],MATCH(tblFollowup[[#This Row],[客戶ID]],tblCRM[客戶ID],0)),"")</f>
        <v/>
      </c>
    </row>
    <row r="100" spans="3:3" ht="19.95" customHeight="1">
      <c r="C100" t="str">
        <f>IFERROR(INDEX(tblCRM[姓名／稱呼],MATCH(tblFollowup[[#This Row],[客戶ID]],tblCRM[客戶ID],0)),"")</f>
        <v/>
      </c>
    </row>
    <row r="101" spans="3:3" ht="19.95" customHeight="1">
      <c r="C101" t="str">
        <f>IFERROR(INDEX(tblCRM[姓名／稱呼],MATCH(tblFollowup[[#This Row],[客戶ID]],tblCRM[客戶ID],0)),"")</f>
        <v/>
      </c>
    </row>
    <row r="102" spans="3:3" ht="19.95" customHeight="1">
      <c r="C102" t="str">
        <f>IFERROR(INDEX(tblCRM[姓名／稱呼],MATCH(tblFollowup[[#This Row],[客戶ID]],tblCRM[客戶ID],0)),"")</f>
        <v/>
      </c>
    </row>
    <row r="103" spans="3:3" ht="19.95" customHeight="1">
      <c r="C103" t="str">
        <f>IFERROR(INDEX(tblCRM[姓名／稱呼],MATCH(tblFollowup[[#This Row],[客戶ID]],tblCRM[客戶ID],0)),"")</f>
        <v/>
      </c>
    </row>
    <row r="104" spans="3:3" ht="19.95" customHeight="1">
      <c r="C104" t="str">
        <f>IFERROR(INDEX(tblCRM[姓名／稱呼],MATCH(tblFollowup[[#This Row],[客戶ID]],tblCRM[客戶ID],0)),"")</f>
        <v/>
      </c>
    </row>
    <row r="105" spans="3:3" ht="19.95" customHeight="1">
      <c r="C105" t="str">
        <f>IFERROR(INDEX(tblCRM[姓名／稱呼],MATCH(tblFollowup[[#This Row],[客戶ID]],tblCRM[客戶ID],0)),"")</f>
        <v/>
      </c>
    </row>
    <row r="106" spans="3:3" ht="19.95" customHeight="1">
      <c r="C106" t="str">
        <f>IFERROR(INDEX(tblCRM[姓名／稱呼],MATCH(tblFollowup[[#This Row],[客戶ID]],tblCRM[客戶ID],0)),"")</f>
        <v/>
      </c>
    </row>
    <row r="107" spans="3:3" ht="19.95" customHeight="1">
      <c r="C107" t="str">
        <f>IFERROR(INDEX(tblCRM[姓名／稱呼],MATCH(tblFollowup[[#This Row],[客戶ID]],tblCRM[客戶ID],0)),"")</f>
        <v/>
      </c>
    </row>
    <row r="108" spans="3:3" ht="19.95" customHeight="1">
      <c r="C108" t="str">
        <f>IFERROR(INDEX(tblCRM[姓名／稱呼],MATCH(tblFollowup[[#This Row],[客戶ID]],tblCRM[客戶ID],0)),"")</f>
        <v/>
      </c>
    </row>
    <row r="109" spans="3:3" ht="19.95" customHeight="1">
      <c r="C109" t="str">
        <f>IFERROR(INDEX(tblCRM[姓名／稱呼],MATCH(tblFollowup[[#This Row],[客戶ID]],tblCRM[客戶ID],0)),"")</f>
        <v/>
      </c>
    </row>
    <row r="110" spans="3:3" ht="19.95" customHeight="1">
      <c r="C110" t="str">
        <f>IFERROR(INDEX(tblCRM[姓名／稱呼],MATCH(tblFollowup[[#This Row],[客戶ID]],tblCRM[客戶ID],0)),"")</f>
        <v/>
      </c>
    </row>
    <row r="111" spans="3:3" ht="19.95" customHeight="1">
      <c r="C111" t="str">
        <f>IFERROR(INDEX(tblCRM[姓名／稱呼],MATCH(tblFollowup[[#This Row],[客戶ID]],tblCRM[客戶ID],0)),"")</f>
        <v/>
      </c>
    </row>
    <row r="112" spans="3:3" ht="19.95" customHeight="1">
      <c r="C112" t="str">
        <f>IFERROR(INDEX(tblCRM[姓名／稱呼],MATCH(tblFollowup[[#This Row],[客戶ID]],tblCRM[客戶ID],0)),"")</f>
        <v/>
      </c>
    </row>
    <row r="113" spans="3:3" ht="19.95" customHeight="1">
      <c r="C113" t="str">
        <f>IFERROR(INDEX(tblCRM[姓名／稱呼],MATCH(tblFollowup[[#This Row],[客戶ID]],tblCRM[客戶ID],0)),"")</f>
        <v/>
      </c>
    </row>
    <row r="114" spans="3:3" ht="19.95" customHeight="1">
      <c r="C114" t="str">
        <f>IFERROR(INDEX(tblCRM[姓名／稱呼],MATCH(tblFollowup[[#This Row],[客戶ID]],tblCRM[客戶ID],0)),"")</f>
        <v/>
      </c>
    </row>
    <row r="115" spans="3:3" ht="19.95" customHeight="1">
      <c r="C115" t="str">
        <f>IFERROR(INDEX(tblCRM[姓名／稱呼],MATCH(tblFollowup[[#This Row],[客戶ID]],tblCRM[客戶ID],0)),"")</f>
        <v/>
      </c>
    </row>
    <row r="116" spans="3:3" ht="19.95" customHeight="1">
      <c r="C116" t="str">
        <f>IFERROR(INDEX(tblCRM[姓名／稱呼],MATCH(tblFollowup[[#This Row],[客戶ID]],tblCRM[客戶ID],0)),"")</f>
        <v/>
      </c>
    </row>
    <row r="117" spans="3:3" ht="19.95" customHeight="1">
      <c r="C117" t="str">
        <f>IFERROR(INDEX(tblCRM[姓名／稱呼],MATCH(tblFollowup[[#This Row],[客戶ID]],tblCRM[客戶ID],0)),"")</f>
        <v/>
      </c>
    </row>
    <row r="118" spans="3:3" ht="19.95" customHeight="1">
      <c r="C118" t="str">
        <f>IFERROR(INDEX(tblCRM[姓名／稱呼],MATCH(tblFollowup[[#This Row],[客戶ID]],tblCRM[客戶ID],0)),"")</f>
        <v/>
      </c>
    </row>
    <row r="119" spans="3:3" ht="19.95" customHeight="1">
      <c r="C119" t="str">
        <f>IFERROR(INDEX(tblCRM[姓名／稱呼],MATCH(tblFollowup[[#This Row],[客戶ID]],tblCRM[客戶ID],0)),"")</f>
        <v/>
      </c>
    </row>
    <row r="120" spans="3:3" ht="19.95" customHeight="1">
      <c r="C120" t="str">
        <f>IFERROR(INDEX(tblCRM[姓名／稱呼],MATCH(tblFollowup[[#This Row],[客戶ID]],tblCRM[客戶ID],0)),"")</f>
        <v/>
      </c>
    </row>
    <row r="121" spans="3:3" ht="19.95" customHeight="1">
      <c r="C121" t="str">
        <f>IFERROR(INDEX(tblCRM[姓名／稱呼],MATCH(tblFollowup[[#This Row],[客戶ID]],tblCRM[客戶ID],0)),"")</f>
        <v/>
      </c>
    </row>
    <row r="122" spans="3:3" ht="19.95" customHeight="1">
      <c r="C122" t="str">
        <f>IFERROR(INDEX(tblCRM[姓名／稱呼],MATCH(tblFollowup[[#This Row],[客戶ID]],tblCRM[客戶ID],0)),"")</f>
        <v/>
      </c>
    </row>
    <row r="123" spans="3:3" ht="19.95" customHeight="1">
      <c r="C123" t="str">
        <f>IFERROR(INDEX(tblCRM[姓名／稱呼],MATCH(tblFollowup[[#This Row],[客戶ID]],tblCRM[客戶ID],0)),"")</f>
        <v/>
      </c>
    </row>
    <row r="124" spans="3:3" ht="19.95" customHeight="1">
      <c r="C124" t="str">
        <f>IFERROR(INDEX(tblCRM[姓名／稱呼],MATCH(tblFollowup[[#This Row],[客戶ID]],tblCRM[客戶ID],0)),"")</f>
        <v/>
      </c>
    </row>
    <row r="125" spans="3:3" ht="19.95" customHeight="1">
      <c r="C125" t="str">
        <f>IFERROR(INDEX(tblCRM[姓名／稱呼],MATCH(tblFollowup[[#This Row],[客戶ID]],tblCRM[客戶ID],0)),"")</f>
        <v/>
      </c>
    </row>
    <row r="126" spans="3:3" ht="19.95" customHeight="1">
      <c r="C126" t="str">
        <f>IFERROR(INDEX(tblCRM[姓名／稱呼],MATCH(tblFollowup[[#This Row],[客戶ID]],tblCRM[客戶ID],0)),"")</f>
        <v/>
      </c>
    </row>
    <row r="127" spans="3:3" ht="19.95" customHeight="1">
      <c r="C127" t="str">
        <f>IFERROR(INDEX(tblCRM[姓名／稱呼],MATCH(tblFollowup[[#This Row],[客戶ID]],tblCRM[客戶ID],0)),"")</f>
        <v/>
      </c>
    </row>
    <row r="128" spans="3:3" ht="19.95" customHeight="1">
      <c r="C128" t="str">
        <f>IFERROR(INDEX(tblCRM[姓名／稱呼],MATCH(tblFollowup[[#This Row],[客戶ID]],tblCRM[客戶ID],0)),"")</f>
        <v/>
      </c>
    </row>
    <row r="129" spans="3:3" ht="19.95" customHeight="1">
      <c r="C129" t="str">
        <f>IFERROR(INDEX(tblCRM[姓名／稱呼],MATCH(tblFollowup[[#This Row],[客戶ID]],tblCRM[客戶ID],0)),"")</f>
        <v/>
      </c>
    </row>
    <row r="130" spans="3:3" ht="19.95" customHeight="1">
      <c r="C130" t="str">
        <f>IFERROR(INDEX(tblCRM[姓名／稱呼],MATCH(tblFollowup[[#This Row],[客戶ID]],tblCRM[客戶ID],0)),"")</f>
        <v/>
      </c>
    </row>
    <row r="131" spans="3:3" ht="19.95" customHeight="1">
      <c r="C131" t="str">
        <f>IFERROR(INDEX(tblCRM[姓名／稱呼],MATCH(tblFollowup[[#This Row],[客戶ID]],tblCRM[客戶ID],0)),"")</f>
        <v/>
      </c>
    </row>
    <row r="132" spans="3:3" ht="19.95" customHeight="1">
      <c r="C132" t="str">
        <f>IFERROR(INDEX(tblCRM[姓名／稱呼],MATCH(tblFollowup[[#This Row],[客戶ID]],tblCRM[客戶ID],0)),"")</f>
        <v/>
      </c>
    </row>
    <row r="133" spans="3:3" ht="19.95" customHeight="1">
      <c r="C133" t="str">
        <f>IFERROR(INDEX(tblCRM[姓名／稱呼],MATCH(tblFollowup[[#This Row],[客戶ID]],tblCRM[客戶ID],0)),"")</f>
        <v/>
      </c>
    </row>
    <row r="134" spans="3:3" ht="19.95" customHeight="1">
      <c r="C134" t="str">
        <f>IFERROR(INDEX(tblCRM[姓名／稱呼],MATCH(tblFollowup[[#This Row],[客戶ID]],tblCRM[客戶ID],0)),"")</f>
        <v/>
      </c>
    </row>
    <row r="135" spans="3:3" ht="19.95" customHeight="1">
      <c r="C135" t="str">
        <f>IFERROR(INDEX(tblCRM[姓名／稱呼],MATCH(tblFollowup[[#This Row],[客戶ID]],tblCRM[客戶ID],0)),"")</f>
        <v/>
      </c>
    </row>
    <row r="136" spans="3:3" ht="19.95" customHeight="1">
      <c r="C136" t="str">
        <f>IFERROR(INDEX(tblCRM[姓名／稱呼],MATCH(tblFollowup[[#This Row],[客戶ID]],tblCRM[客戶ID],0)),"")</f>
        <v/>
      </c>
    </row>
    <row r="137" spans="3:3" ht="19.95" customHeight="1">
      <c r="C137" t="str">
        <f>IFERROR(INDEX(tblCRM[姓名／稱呼],MATCH(tblFollowup[[#This Row],[客戶ID]],tblCRM[客戶ID],0)),"")</f>
        <v/>
      </c>
    </row>
    <row r="138" spans="3:3" ht="19.95" customHeight="1">
      <c r="C138" t="str">
        <f>IFERROR(INDEX(tblCRM[姓名／稱呼],MATCH(tblFollowup[[#This Row],[客戶ID]],tblCRM[客戶ID],0)),"")</f>
        <v/>
      </c>
    </row>
    <row r="139" spans="3:3" ht="19.95" customHeight="1">
      <c r="C139" t="str">
        <f>IFERROR(INDEX(tblCRM[姓名／稱呼],MATCH(tblFollowup[[#This Row],[客戶ID]],tblCRM[客戶ID],0)),"")</f>
        <v/>
      </c>
    </row>
    <row r="140" spans="3:3" ht="19.95" customHeight="1">
      <c r="C140" t="str">
        <f>IFERROR(INDEX(tblCRM[姓名／稱呼],MATCH(tblFollowup[[#This Row],[客戶ID]],tblCRM[客戶ID],0)),"")</f>
        <v/>
      </c>
    </row>
    <row r="141" spans="3:3" ht="19.95" customHeight="1">
      <c r="C141" t="str">
        <f>IFERROR(INDEX(tblCRM[姓名／稱呼],MATCH(tblFollowup[[#This Row],[客戶ID]],tblCRM[客戶ID],0)),"")</f>
        <v/>
      </c>
    </row>
    <row r="142" spans="3:3" ht="19.95" customHeight="1">
      <c r="C142" t="str">
        <f>IFERROR(INDEX(tblCRM[姓名／稱呼],MATCH(tblFollowup[[#This Row],[客戶ID]],tblCRM[客戶ID],0)),"")</f>
        <v/>
      </c>
    </row>
    <row r="143" spans="3:3" ht="19.95" customHeight="1">
      <c r="C143" t="str">
        <f>IFERROR(INDEX(tblCRM[姓名／稱呼],MATCH(tblFollowup[[#This Row],[客戶ID]],tblCRM[客戶ID],0)),"")</f>
        <v/>
      </c>
    </row>
    <row r="144" spans="3:3" ht="19.95" customHeight="1">
      <c r="C144" t="str">
        <f>IFERROR(INDEX(tblCRM[姓名／稱呼],MATCH(tblFollowup[[#This Row],[客戶ID]],tblCRM[客戶ID],0)),"")</f>
        <v/>
      </c>
    </row>
    <row r="145" spans="3:3" ht="19.95" customHeight="1">
      <c r="C145" t="str">
        <f>IFERROR(INDEX(tblCRM[姓名／稱呼],MATCH(tblFollowup[[#This Row],[客戶ID]],tblCRM[客戶ID],0)),"")</f>
        <v/>
      </c>
    </row>
    <row r="146" spans="3:3" ht="19.95" customHeight="1">
      <c r="C146" t="str">
        <f>IFERROR(INDEX(tblCRM[姓名／稱呼],MATCH(tblFollowup[[#This Row],[客戶ID]],tblCRM[客戶ID],0)),"")</f>
        <v/>
      </c>
    </row>
    <row r="147" spans="3:3" ht="19.95" customHeight="1">
      <c r="C147" t="str">
        <f>IFERROR(INDEX(tblCRM[姓名／稱呼],MATCH(tblFollowup[[#This Row],[客戶ID]],tblCRM[客戶ID],0)),"")</f>
        <v/>
      </c>
    </row>
    <row r="148" spans="3:3" ht="19.95" customHeight="1">
      <c r="C148" t="str">
        <f>IFERROR(INDEX(tblCRM[姓名／稱呼],MATCH(tblFollowup[[#This Row],[客戶ID]],tblCRM[客戶ID],0)),"")</f>
        <v/>
      </c>
    </row>
    <row r="149" spans="3:3" ht="19.95" customHeight="1">
      <c r="C149" t="str">
        <f>IFERROR(INDEX(tblCRM[姓名／稱呼],MATCH(tblFollowup[[#This Row],[客戶ID]],tblCRM[客戶ID],0)),"")</f>
        <v/>
      </c>
    </row>
    <row r="150" spans="3:3" ht="19.95" customHeight="1">
      <c r="C150" t="str">
        <f>IFERROR(INDEX(tblCRM[姓名／稱呼],MATCH(tblFollowup[[#This Row],[客戶ID]],tblCRM[客戶ID],0)),"")</f>
        <v/>
      </c>
    </row>
    <row r="151" spans="3:3" ht="19.95" customHeight="1">
      <c r="C151" t="str">
        <f>IFERROR(INDEX(tblCRM[姓名／稱呼],MATCH(tblFollowup[[#This Row],[客戶ID]],tblCRM[客戶ID],0)),"")</f>
        <v/>
      </c>
    </row>
    <row r="152" spans="3:3" ht="19.95" customHeight="1">
      <c r="C152" t="str">
        <f>IFERROR(INDEX(tblCRM[姓名／稱呼],MATCH(tblFollowup[[#This Row],[客戶ID]],tblCRM[客戶ID],0)),"")</f>
        <v/>
      </c>
    </row>
    <row r="153" spans="3:3" ht="19.95" customHeight="1">
      <c r="C153" t="str">
        <f>IFERROR(INDEX(tblCRM[姓名／稱呼],MATCH(tblFollowup[[#This Row],[客戶ID]],tblCRM[客戶ID],0)),"")</f>
        <v/>
      </c>
    </row>
    <row r="154" spans="3:3" ht="19.95" customHeight="1">
      <c r="C154" t="str">
        <f>IFERROR(INDEX(tblCRM[姓名／稱呼],MATCH(tblFollowup[[#This Row],[客戶ID]],tblCRM[客戶ID],0)),"")</f>
        <v/>
      </c>
    </row>
    <row r="155" spans="3:3" ht="19.95" customHeight="1">
      <c r="C155" t="str">
        <f>IFERROR(INDEX(tblCRM[姓名／稱呼],MATCH(tblFollowup[[#This Row],[客戶ID]],tblCRM[客戶ID],0)),"")</f>
        <v/>
      </c>
    </row>
    <row r="156" spans="3:3" ht="19.95" customHeight="1">
      <c r="C156" t="str">
        <f>IFERROR(INDEX(tblCRM[姓名／稱呼],MATCH(tblFollowup[[#This Row],[客戶ID]],tblCRM[客戶ID],0)),"")</f>
        <v/>
      </c>
    </row>
    <row r="157" spans="3:3" ht="19.95" customHeight="1">
      <c r="C157" t="str">
        <f>IFERROR(INDEX(tblCRM[姓名／稱呼],MATCH(tblFollowup[[#This Row],[客戶ID]],tblCRM[客戶ID],0)),"")</f>
        <v/>
      </c>
    </row>
    <row r="158" spans="3:3" ht="19.95" customHeight="1">
      <c r="C158" t="str">
        <f>IFERROR(INDEX(tblCRM[姓名／稱呼],MATCH(tblFollowup[[#This Row],[客戶ID]],tblCRM[客戶ID],0)),"")</f>
        <v/>
      </c>
    </row>
    <row r="159" spans="3:3" ht="19.95" customHeight="1">
      <c r="C159" t="str">
        <f>IFERROR(INDEX(tblCRM[姓名／稱呼],MATCH(tblFollowup[[#This Row],[客戶ID]],tblCRM[客戶ID],0)),"")</f>
        <v/>
      </c>
    </row>
    <row r="160" spans="3:3" ht="19.95" customHeight="1">
      <c r="C160" t="str">
        <f>IFERROR(INDEX(tblCRM[姓名／稱呼],MATCH(tblFollowup[[#This Row],[客戶ID]],tblCRM[客戶ID],0)),"")</f>
        <v/>
      </c>
    </row>
    <row r="161" spans="3:3" ht="19.95" customHeight="1">
      <c r="C161" t="str">
        <f>IFERROR(INDEX(tblCRM[姓名／稱呼],MATCH(tblFollowup[[#This Row],[客戶ID]],tblCRM[客戶ID],0)),"")</f>
        <v/>
      </c>
    </row>
    <row r="162" spans="3:3" ht="19.95" customHeight="1">
      <c r="C162" t="str">
        <f>IFERROR(INDEX(tblCRM[姓名／稱呼],MATCH(tblFollowup[[#This Row],[客戶ID]],tblCRM[客戶ID],0)),"")</f>
        <v/>
      </c>
    </row>
    <row r="163" spans="3:3" ht="19.95" customHeight="1">
      <c r="C163" t="str">
        <f>IFERROR(INDEX(tblCRM[姓名／稱呼],MATCH(tblFollowup[[#This Row],[客戶ID]],tblCRM[客戶ID],0)),"")</f>
        <v/>
      </c>
    </row>
    <row r="164" spans="3:3" ht="19.95" customHeight="1">
      <c r="C164" t="str">
        <f>IFERROR(INDEX(tblCRM[姓名／稱呼],MATCH(tblFollowup[[#This Row],[客戶ID]],tblCRM[客戶ID],0)),"")</f>
        <v/>
      </c>
    </row>
    <row r="165" spans="3:3" ht="19.95" customHeight="1">
      <c r="C165" t="str">
        <f>IFERROR(INDEX(tblCRM[姓名／稱呼],MATCH(tblFollowup[[#This Row],[客戶ID]],tblCRM[客戶ID],0)),"")</f>
        <v/>
      </c>
    </row>
    <row r="166" spans="3:3" ht="19.95" customHeight="1">
      <c r="C166" t="str">
        <f>IFERROR(INDEX(tblCRM[姓名／稱呼],MATCH(tblFollowup[[#This Row],[客戶ID]],tblCRM[客戶ID],0)),"")</f>
        <v/>
      </c>
    </row>
    <row r="167" spans="3:3" ht="19.95" customHeight="1">
      <c r="C167" t="str">
        <f>IFERROR(INDEX(tblCRM[姓名／稱呼],MATCH(tblFollowup[[#This Row],[客戶ID]],tblCRM[客戶ID],0)),"")</f>
        <v/>
      </c>
    </row>
    <row r="168" spans="3:3" ht="19.95" customHeight="1">
      <c r="C168" t="str">
        <f>IFERROR(INDEX(tblCRM[姓名／稱呼],MATCH(tblFollowup[[#This Row],[客戶ID]],tblCRM[客戶ID],0)),"")</f>
        <v/>
      </c>
    </row>
    <row r="169" spans="3:3" ht="19.95" customHeight="1">
      <c r="C169" t="str">
        <f>IFERROR(INDEX(tblCRM[姓名／稱呼],MATCH(tblFollowup[[#This Row],[客戶ID]],tblCRM[客戶ID],0)),"")</f>
        <v/>
      </c>
    </row>
    <row r="170" spans="3:3" ht="19.95" customHeight="1">
      <c r="C170" t="str">
        <f>IFERROR(INDEX(tblCRM[姓名／稱呼],MATCH(tblFollowup[[#This Row],[客戶ID]],tblCRM[客戶ID],0)),"")</f>
        <v/>
      </c>
    </row>
    <row r="171" spans="3:3" ht="19.95" customHeight="1">
      <c r="C171" t="str">
        <f>IFERROR(INDEX(tblCRM[姓名／稱呼],MATCH(tblFollowup[[#This Row],[客戶ID]],tblCRM[客戶ID],0)),"")</f>
        <v/>
      </c>
    </row>
    <row r="172" spans="3:3" ht="19.95" customHeight="1">
      <c r="C172" t="str">
        <f>IFERROR(INDEX(tblCRM[姓名／稱呼],MATCH(tblFollowup[[#This Row],[客戶ID]],tblCRM[客戶ID],0)),"")</f>
        <v/>
      </c>
    </row>
    <row r="173" spans="3:3" ht="19.95" customHeight="1">
      <c r="C173" t="str">
        <f>IFERROR(INDEX(tblCRM[姓名／稱呼],MATCH(tblFollowup[[#This Row],[客戶ID]],tblCRM[客戶ID],0)),"")</f>
        <v/>
      </c>
    </row>
    <row r="174" spans="3:3" ht="19.95" customHeight="1">
      <c r="C174" t="str">
        <f>IFERROR(INDEX(tblCRM[姓名／稱呼],MATCH(tblFollowup[[#This Row],[客戶ID]],tblCRM[客戶ID],0)),"")</f>
        <v/>
      </c>
    </row>
    <row r="175" spans="3:3" ht="19.95" customHeight="1">
      <c r="C175" t="str">
        <f>IFERROR(INDEX(tblCRM[姓名／稱呼],MATCH(tblFollowup[[#This Row],[客戶ID]],tblCRM[客戶ID],0)),"")</f>
        <v/>
      </c>
    </row>
    <row r="176" spans="3:3" ht="19.95" customHeight="1">
      <c r="C176" t="str">
        <f>IFERROR(INDEX(tblCRM[姓名／稱呼],MATCH(tblFollowup[[#This Row],[客戶ID]],tblCRM[客戶ID],0)),"")</f>
        <v/>
      </c>
    </row>
    <row r="177" spans="3:3" ht="19.95" customHeight="1">
      <c r="C177" t="str">
        <f>IFERROR(INDEX(tblCRM[姓名／稱呼],MATCH(tblFollowup[[#This Row],[客戶ID]],tblCRM[客戶ID],0)),"")</f>
        <v/>
      </c>
    </row>
    <row r="178" spans="3:3" ht="19.95" customHeight="1">
      <c r="C178" t="str">
        <f>IFERROR(INDEX(tblCRM[姓名／稱呼],MATCH(tblFollowup[[#This Row],[客戶ID]],tblCRM[客戶ID],0)),"")</f>
        <v/>
      </c>
    </row>
    <row r="179" spans="3:3" ht="19.95" customHeight="1">
      <c r="C179" t="str">
        <f>IFERROR(INDEX(tblCRM[姓名／稱呼],MATCH(tblFollowup[[#This Row],[客戶ID]],tblCRM[客戶ID],0)),"")</f>
        <v/>
      </c>
    </row>
    <row r="180" spans="3:3" ht="19.95" customHeight="1">
      <c r="C180" t="str">
        <f>IFERROR(INDEX(tblCRM[姓名／稱呼],MATCH(tblFollowup[[#This Row],[客戶ID]],tblCRM[客戶ID],0)),"")</f>
        <v/>
      </c>
    </row>
    <row r="181" spans="3:3" ht="19.95" customHeight="1">
      <c r="C181" t="str">
        <f>IFERROR(INDEX(tblCRM[姓名／稱呼],MATCH(tblFollowup[[#This Row],[客戶ID]],tblCRM[客戶ID],0)),"")</f>
        <v/>
      </c>
    </row>
    <row r="182" spans="3:3" ht="19.95" customHeight="1">
      <c r="C182" t="str">
        <f>IFERROR(INDEX(tblCRM[姓名／稱呼],MATCH(tblFollowup[[#This Row],[客戶ID]],tblCRM[客戶ID],0)),"")</f>
        <v/>
      </c>
    </row>
    <row r="183" spans="3:3" ht="19.95" customHeight="1">
      <c r="C183" t="str">
        <f>IFERROR(INDEX(tblCRM[姓名／稱呼],MATCH(tblFollowup[[#This Row],[客戶ID]],tblCRM[客戶ID],0)),"")</f>
        <v/>
      </c>
    </row>
    <row r="184" spans="3:3" ht="19.95" customHeight="1">
      <c r="C184" t="str">
        <f>IFERROR(INDEX(tblCRM[姓名／稱呼],MATCH(tblFollowup[[#This Row],[客戶ID]],tblCRM[客戶ID],0)),"")</f>
        <v/>
      </c>
    </row>
    <row r="185" spans="3:3" ht="19.95" customHeight="1">
      <c r="C185" t="str">
        <f>IFERROR(INDEX(tblCRM[姓名／稱呼],MATCH(tblFollowup[[#This Row],[客戶ID]],tblCRM[客戶ID],0)),"")</f>
        <v/>
      </c>
    </row>
    <row r="186" spans="3:3" ht="19.95" customHeight="1">
      <c r="C186" t="str">
        <f>IFERROR(INDEX(tblCRM[姓名／稱呼],MATCH(tblFollowup[[#This Row],[客戶ID]],tblCRM[客戶ID],0)),"")</f>
        <v/>
      </c>
    </row>
    <row r="187" spans="3:3" ht="19.95" customHeight="1">
      <c r="C187" t="str">
        <f>IFERROR(INDEX(tblCRM[姓名／稱呼],MATCH(tblFollowup[[#This Row],[客戶ID]],tblCRM[客戶ID],0)),"")</f>
        <v/>
      </c>
    </row>
    <row r="188" spans="3:3" ht="19.95" customHeight="1">
      <c r="C188" t="str">
        <f>IFERROR(INDEX(tblCRM[姓名／稱呼],MATCH(tblFollowup[[#This Row],[客戶ID]],tblCRM[客戶ID],0)),"")</f>
        <v/>
      </c>
    </row>
    <row r="189" spans="3:3" ht="19.95" customHeight="1">
      <c r="C189" t="str">
        <f>IFERROR(INDEX(tblCRM[姓名／稱呼],MATCH(tblFollowup[[#This Row],[客戶ID]],tblCRM[客戶ID],0)),"")</f>
        <v/>
      </c>
    </row>
    <row r="190" spans="3:3" ht="19.95" customHeight="1">
      <c r="C190" t="str">
        <f>IFERROR(INDEX(tblCRM[姓名／稱呼],MATCH(tblFollowup[[#This Row],[客戶ID]],tblCRM[客戶ID],0)),"")</f>
        <v/>
      </c>
    </row>
    <row r="191" spans="3:3" ht="19.95" customHeight="1">
      <c r="C191" t="str">
        <f>IFERROR(INDEX(tblCRM[姓名／稱呼],MATCH(tblFollowup[[#This Row],[客戶ID]],tblCRM[客戶ID],0)),"")</f>
        <v/>
      </c>
    </row>
    <row r="192" spans="3:3" ht="19.95" customHeight="1">
      <c r="C192" t="str">
        <f>IFERROR(INDEX(tblCRM[姓名／稱呼],MATCH(tblFollowup[[#This Row],[客戶ID]],tblCRM[客戶ID],0)),"")</f>
        <v/>
      </c>
    </row>
    <row r="193" spans="3:3" ht="19.95" customHeight="1">
      <c r="C193" t="str">
        <f>IFERROR(INDEX(tblCRM[姓名／稱呼],MATCH(tblFollowup[[#This Row],[客戶ID]],tblCRM[客戶ID],0)),"")</f>
        <v/>
      </c>
    </row>
    <row r="194" spans="3:3" ht="19.95" customHeight="1">
      <c r="C194" t="str">
        <f>IFERROR(INDEX(tblCRM[姓名／稱呼],MATCH(tblFollowup[[#This Row],[客戶ID]],tblCRM[客戶ID],0)),"")</f>
        <v/>
      </c>
    </row>
    <row r="195" spans="3:3" ht="19.95" customHeight="1">
      <c r="C195" t="str">
        <f>IFERROR(INDEX(tblCRM[姓名／稱呼],MATCH(tblFollowup[[#This Row],[客戶ID]],tblCRM[客戶ID],0)),"")</f>
        <v/>
      </c>
    </row>
    <row r="196" spans="3:3" ht="19.95" customHeight="1">
      <c r="C196" t="str">
        <f>IFERROR(INDEX(tblCRM[姓名／稱呼],MATCH(tblFollowup[[#This Row],[客戶ID]],tblCRM[客戶ID],0)),"")</f>
        <v/>
      </c>
    </row>
    <row r="197" spans="3:3" ht="19.95" customHeight="1">
      <c r="C197" t="str">
        <f>IFERROR(INDEX(tblCRM[姓名／稱呼],MATCH(tblFollowup[[#This Row],[客戶ID]],tblCRM[客戶ID],0)),"")</f>
        <v/>
      </c>
    </row>
    <row r="198" spans="3:3" ht="19.95" customHeight="1">
      <c r="C198" t="str">
        <f>IFERROR(INDEX(tblCRM[姓名／稱呼],MATCH(tblFollowup[[#This Row],[客戶ID]],tblCRM[客戶ID],0)),"")</f>
        <v/>
      </c>
    </row>
    <row r="199" spans="3:3" ht="19.95" customHeight="1">
      <c r="C199" t="str">
        <f>IFERROR(INDEX(tblCRM[姓名／稱呼],MATCH(tblFollowup[[#This Row],[客戶ID]],tblCRM[客戶ID],0)),"")</f>
        <v/>
      </c>
    </row>
    <row r="200" spans="3:3" ht="19.95" customHeight="1">
      <c r="C200" t="str">
        <f>IFERROR(INDEX(tblCRM[姓名／稱呼],MATCH(tblFollowup[[#This Row],[客戶ID]],tblCRM[客戶ID],0)),"")</f>
        <v/>
      </c>
    </row>
    <row r="201" spans="3:3" ht="19.95" customHeight="1">
      <c r="C201" t="str">
        <f>IFERROR(INDEX(tblCRM[姓名／稱呼],MATCH(tblFollowup[[#This Row],[客戶ID]],tblCRM[客戶ID],0)),"")</f>
        <v/>
      </c>
    </row>
    <row r="202" spans="3:3" ht="19.95" customHeight="1">
      <c r="C202" t="str">
        <f>IFERROR(INDEX(tblCRM[姓名／稱呼],MATCH(tblFollowup[[#This Row],[客戶ID]],tblCRM[客戶ID],0)),"")</f>
        <v/>
      </c>
    </row>
    <row r="203" spans="3:3" ht="19.95" customHeight="1">
      <c r="C203" t="str">
        <f>IFERROR(INDEX(tblCRM[姓名／稱呼],MATCH(tblFollowup[[#This Row],[客戶ID]],tblCRM[客戶ID],0)),"")</f>
        <v/>
      </c>
    </row>
    <row r="204" spans="3:3" ht="19.95" customHeight="1">
      <c r="C204" t="str">
        <f>IFERROR(INDEX(tblCRM[姓名／稱呼],MATCH(tblFollowup[[#This Row],[客戶ID]],tblCRM[客戶ID],0)),"")</f>
        <v/>
      </c>
    </row>
    <row r="205" spans="3:3" ht="19.95" customHeight="1">
      <c r="C205" t="str">
        <f>IFERROR(INDEX(tblCRM[姓名／稱呼],MATCH(tblFollowup[[#This Row],[客戶ID]],tblCRM[客戶ID],0)),"")</f>
        <v/>
      </c>
    </row>
    <row r="206" spans="3:3" ht="19.95" customHeight="1">
      <c r="C206" t="str">
        <f>IFERROR(INDEX(tblCRM[姓名／稱呼],MATCH(tblFollowup[[#This Row],[客戶ID]],tblCRM[客戶ID],0)),"")</f>
        <v/>
      </c>
    </row>
    <row r="207" spans="3:3" ht="19.95" customHeight="1">
      <c r="C207" t="str">
        <f>IFERROR(INDEX(tblCRM[姓名／稱呼],MATCH(tblFollowup[[#This Row],[客戶ID]],tblCRM[客戶ID],0)),"")</f>
        <v/>
      </c>
    </row>
    <row r="208" spans="3:3" ht="19.95" customHeight="1">
      <c r="C208" t="str">
        <f>IFERROR(INDEX(tblCRM[姓名／稱呼],MATCH(tblFollowup[[#This Row],[客戶ID]],tblCRM[客戶ID],0)),"")</f>
        <v/>
      </c>
    </row>
    <row r="209" spans="3:3" ht="19.95" customHeight="1">
      <c r="C209" t="str">
        <f>IFERROR(INDEX(tblCRM[姓名／稱呼],MATCH(tblFollowup[[#This Row],[客戶ID]],tblCRM[客戶ID],0)),"")</f>
        <v/>
      </c>
    </row>
    <row r="210" spans="3:3" ht="19.95" customHeight="1">
      <c r="C210" t="str">
        <f>IFERROR(INDEX(tblCRM[姓名／稱呼],MATCH(tblFollowup[[#This Row],[客戶ID]],tblCRM[客戶ID],0)),"")</f>
        <v/>
      </c>
    </row>
    <row r="211" spans="3:3" ht="19.95" customHeight="1">
      <c r="C211" t="str">
        <f>IFERROR(INDEX(tblCRM[姓名／稱呼],MATCH(tblFollowup[[#This Row],[客戶ID]],tblCRM[客戶ID],0)),"")</f>
        <v/>
      </c>
    </row>
    <row r="212" spans="3:3" ht="19.95" customHeight="1">
      <c r="C212" t="str">
        <f>IFERROR(INDEX(tblCRM[姓名／稱呼],MATCH(tblFollowup[[#This Row],[客戶ID]],tblCRM[客戶ID],0)),"")</f>
        <v/>
      </c>
    </row>
    <row r="213" spans="3:3" ht="19.95" customHeight="1">
      <c r="C213" t="str">
        <f>IFERROR(INDEX(tblCRM[姓名／稱呼],MATCH(tblFollowup[[#This Row],[客戶ID]],tblCRM[客戶ID],0)),"")</f>
        <v/>
      </c>
    </row>
    <row r="214" spans="3:3" ht="19.95" customHeight="1">
      <c r="C214" t="str">
        <f>IFERROR(INDEX(tblCRM[姓名／稱呼],MATCH(tblFollowup[[#This Row],[客戶ID]],tblCRM[客戶ID],0)),"")</f>
        <v/>
      </c>
    </row>
    <row r="215" spans="3:3" ht="19.95" customHeight="1">
      <c r="C215" t="str">
        <f>IFERROR(INDEX(tblCRM[姓名／稱呼],MATCH(tblFollowup[[#This Row],[客戶ID]],tblCRM[客戶ID],0)),"")</f>
        <v/>
      </c>
    </row>
    <row r="216" spans="3:3" ht="19.95" customHeight="1">
      <c r="C216" t="str">
        <f>IFERROR(INDEX(tblCRM[姓名／稱呼],MATCH(tblFollowup[[#This Row],[客戶ID]],tblCRM[客戶ID],0)),"")</f>
        <v/>
      </c>
    </row>
    <row r="217" spans="3:3" ht="19.95" customHeight="1">
      <c r="C217" t="str">
        <f>IFERROR(INDEX(tblCRM[姓名／稱呼],MATCH(tblFollowup[[#This Row],[客戶ID]],tblCRM[客戶ID],0)),"")</f>
        <v/>
      </c>
    </row>
    <row r="218" spans="3:3" ht="19.95" customHeight="1">
      <c r="C218" t="str">
        <f>IFERROR(INDEX(tblCRM[姓名／稱呼],MATCH(tblFollowup[[#This Row],[客戶ID]],tblCRM[客戶ID],0)),"")</f>
        <v/>
      </c>
    </row>
    <row r="219" spans="3:3" ht="19.95" customHeight="1">
      <c r="C219" t="str">
        <f>IFERROR(INDEX(tblCRM[姓名／稱呼],MATCH(tblFollowup[[#This Row],[客戶ID]],tblCRM[客戶ID],0)),"")</f>
        <v/>
      </c>
    </row>
    <row r="220" spans="3:3" ht="19.95" customHeight="1">
      <c r="C220" t="str">
        <f>IFERROR(INDEX(tblCRM[姓名／稱呼],MATCH(tblFollowup[[#This Row],[客戶ID]],tblCRM[客戶ID],0)),"")</f>
        <v/>
      </c>
    </row>
    <row r="221" spans="3:3" ht="19.95" customHeight="1">
      <c r="C221" t="str">
        <f>IFERROR(INDEX(tblCRM[姓名／稱呼],MATCH(tblFollowup[[#This Row],[客戶ID]],tblCRM[客戶ID],0)),"")</f>
        <v/>
      </c>
    </row>
    <row r="222" spans="3:3" ht="19.95" customHeight="1">
      <c r="C222" t="str">
        <f>IFERROR(INDEX(tblCRM[姓名／稱呼],MATCH(tblFollowup[[#This Row],[客戶ID]],tblCRM[客戶ID],0)),"")</f>
        <v/>
      </c>
    </row>
    <row r="223" spans="3:3" ht="19.95" customHeight="1">
      <c r="C223" t="str">
        <f>IFERROR(INDEX(tblCRM[姓名／稱呼],MATCH(tblFollowup[[#This Row],[客戶ID]],tblCRM[客戶ID],0)),"")</f>
        <v/>
      </c>
    </row>
    <row r="224" spans="3:3" ht="19.95" customHeight="1">
      <c r="C224" t="str">
        <f>IFERROR(INDEX(tblCRM[姓名／稱呼],MATCH(tblFollowup[[#This Row],[客戶ID]],tblCRM[客戶ID],0)),"")</f>
        <v/>
      </c>
    </row>
    <row r="225" spans="3:3" ht="19.95" customHeight="1">
      <c r="C225" t="str">
        <f>IFERROR(INDEX(tblCRM[姓名／稱呼],MATCH(tblFollowup[[#This Row],[客戶ID]],tblCRM[客戶ID],0)),"")</f>
        <v/>
      </c>
    </row>
    <row r="226" spans="3:3" ht="19.95" customHeight="1">
      <c r="C226" t="str">
        <f>IFERROR(INDEX(tblCRM[姓名／稱呼],MATCH(tblFollowup[[#This Row],[客戶ID]],tblCRM[客戶ID],0)),"")</f>
        <v/>
      </c>
    </row>
    <row r="227" spans="3:3" ht="19.95" customHeight="1">
      <c r="C227" t="str">
        <f>IFERROR(INDEX(tblCRM[姓名／稱呼],MATCH(tblFollowup[[#This Row],[客戶ID]],tblCRM[客戶ID],0)),"")</f>
        <v/>
      </c>
    </row>
    <row r="228" spans="3:3" ht="19.95" customHeight="1">
      <c r="C228" t="str">
        <f>IFERROR(INDEX(tblCRM[姓名／稱呼],MATCH(tblFollowup[[#This Row],[客戶ID]],tblCRM[客戶ID],0)),"")</f>
        <v/>
      </c>
    </row>
    <row r="229" spans="3:3" ht="19.95" customHeight="1">
      <c r="C229" t="str">
        <f>IFERROR(INDEX(tblCRM[姓名／稱呼],MATCH(tblFollowup[[#This Row],[客戶ID]],tblCRM[客戶ID],0)),"")</f>
        <v/>
      </c>
    </row>
    <row r="230" spans="3:3" ht="19.95" customHeight="1">
      <c r="C230" t="str">
        <f>IFERROR(INDEX(tblCRM[姓名／稱呼],MATCH(tblFollowup[[#This Row],[客戶ID]],tblCRM[客戶ID],0)),"")</f>
        <v/>
      </c>
    </row>
    <row r="231" spans="3:3" ht="19.95" customHeight="1">
      <c r="C231" t="str">
        <f>IFERROR(INDEX(tblCRM[姓名／稱呼],MATCH(tblFollowup[[#This Row],[客戶ID]],tblCRM[客戶ID],0)),"")</f>
        <v/>
      </c>
    </row>
    <row r="232" spans="3:3" ht="19.95" customHeight="1">
      <c r="C232" t="str">
        <f>IFERROR(INDEX(tblCRM[姓名／稱呼],MATCH(tblFollowup[[#This Row],[客戶ID]],tblCRM[客戶ID],0)),"")</f>
        <v/>
      </c>
    </row>
    <row r="233" spans="3:3" ht="19.95" customHeight="1">
      <c r="C233" t="str">
        <f>IFERROR(INDEX(tblCRM[姓名／稱呼],MATCH(tblFollowup[[#This Row],[客戶ID]],tblCRM[客戶ID],0)),"")</f>
        <v/>
      </c>
    </row>
    <row r="234" spans="3:3" ht="19.95" customHeight="1">
      <c r="C234" t="str">
        <f>IFERROR(INDEX(tblCRM[姓名／稱呼],MATCH(tblFollowup[[#This Row],[客戶ID]],tblCRM[客戶ID],0)),"")</f>
        <v/>
      </c>
    </row>
    <row r="235" spans="3:3" ht="19.95" customHeight="1">
      <c r="C235" t="str">
        <f>IFERROR(INDEX(tblCRM[姓名／稱呼],MATCH(tblFollowup[[#This Row],[客戶ID]],tblCRM[客戶ID],0)),"")</f>
        <v/>
      </c>
    </row>
    <row r="236" spans="3:3" ht="19.95" customHeight="1">
      <c r="C236" t="str">
        <f>IFERROR(INDEX(tblCRM[姓名／稱呼],MATCH(tblFollowup[[#This Row],[客戶ID]],tblCRM[客戶ID],0)),"")</f>
        <v/>
      </c>
    </row>
    <row r="237" spans="3:3" ht="19.95" customHeight="1">
      <c r="C237" t="str">
        <f>IFERROR(INDEX(tblCRM[姓名／稱呼],MATCH(tblFollowup[[#This Row],[客戶ID]],tblCRM[客戶ID],0)),"")</f>
        <v/>
      </c>
    </row>
    <row r="238" spans="3:3" ht="19.95" customHeight="1">
      <c r="C238" t="str">
        <f>IFERROR(INDEX(tblCRM[姓名／稱呼],MATCH(tblFollowup[[#This Row],[客戶ID]],tblCRM[客戶ID],0)),"")</f>
        <v/>
      </c>
    </row>
    <row r="239" spans="3:3" ht="19.95" customHeight="1">
      <c r="C239" t="str">
        <f>IFERROR(INDEX(tblCRM[姓名／稱呼],MATCH(tblFollowup[[#This Row],[客戶ID]],tblCRM[客戶ID],0)),"")</f>
        <v/>
      </c>
    </row>
    <row r="240" spans="3:3" ht="19.95" customHeight="1">
      <c r="C240" t="str">
        <f>IFERROR(INDEX(tblCRM[姓名／稱呼],MATCH(tblFollowup[[#This Row],[客戶ID]],tblCRM[客戶ID],0)),"")</f>
        <v/>
      </c>
    </row>
    <row r="241" spans="3:3" ht="19.95" customHeight="1">
      <c r="C241" t="str">
        <f>IFERROR(INDEX(tblCRM[姓名／稱呼],MATCH(tblFollowup[[#This Row],[客戶ID]],tblCRM[客戶ID],0)),"")</f>
        <v/>
      </c>
    </row>
    <row r="242" spans="3:3" ht="19.95" customHeight="1">
      <c r="C242" t="str">
        <f>IFERROR(INDEX(tblCRM[姓名／稱呼],MATCH(tblFollowup[[#This Row],[客戶ID]],tblCRM[客戶ID],0)),"")</f>
        <v/>
      </c>
    </row>
    <row r="243" spans="3:3" ht="19.95" customHeight="1">
      <c r="C243" t="str">
        <f>IFERROR(INDEX(tblCRM[姓名／稱呼],MATCH(tblFollowup[[#This Row],[客戶ID]],tblCRM[客戶ID],0)),"")</f>
        <v/>
      </c>
    </row>
    <row r="244" spans="3:3" ht="19.95" customHeight="1">
      <c r="C244" t="str">
        <f>IFERROR(INDEX(tblCRM[姓名／稱呼],MATCH(tblFollowup[[#This Row],[客戶ID]],tblCRM[客戶ID],0)),"")</f>
        <v/>
      </c>
    </row>
    <row r="245" spans="3:3" ht="19.95" customHeight="1">
      <c r="C245" t="str">
        <f>IFERROR(INDEX(tblCRM[姓名／稱呼],MATCH(tblFollowup[[#This Row],[客戶ID]],tblCRM[客戶ID],0)),"")</f>
        <v/>
      </c>
    </row>
    <row r="246" spans="3:3" ht="19.95" customHeight="1">
      <c r="C246" t="str">
        <f>IFERROR(INDEX(tblCRM[姓名／稱呼],MATCH(tblFollowup[[#This Row],[客戶ID]],tblCRM[客戶ID],0)),"")</f>
        <v/>
      </c>
    </row>
    <row r="247" spans="3:3" ht="19.95" customHeight="1">
      <c r="C247" t="str">
        <f>IFERROR(INDEX(tblCRM[姓名／稱呼],MATCH(tblFollowup[[#This Row],[客戶ID]],tblCRM[客戶ID],0)),"")</f>
        <v/>
      </c>
    </row>
    <row r="248" spans="3:3" ht="19.95" customHeight="1">
      <c r="C248" t="str">
        <f>IFERROR(INDEX(tblCRM[姓名／稱呼],MATCH(tblFollowup[[#This Row],[客戶ID]],tblCRM[客戶ID],0)),"")</f>
        <v/>
      </c>
    </row>
    <row r="249" spans="3:3" ht="19.95" customHeight="1">
      <c r="C249" t="str">
        <f>IFERROR(INDEX(tblCRM[姓名／稱呼],MATCH(tblFollowup[[#This Row],[客戶ID]],tblCRM[客戶ID],0)),"")</f>
        <v/>
      </c>
    </row>
    <row r="250" spans="3:3" ht="19.95" customHeight="1">
      <c r="C250" t="str">
        <f>IFERROR(INDEX(tblCRM[姓名／稱呼],MATCH(tblFollowup[[#This Row],[客戶ID]],tblCRM[客戶ID],0)),"")</f>
        <v/>
      </c>
    </row>
    <row r="251" spans="3:3" ht="19.95" customHeight="1">
      <c r="C251" t="str">
        <f>IFERROR(INDEX(tblCRM[姓名／稱呼],MATCH(tblFollowup[[#This Row],[客戶ID]],tblCRM[客戶ID],0)),"")</f>
        <v/>
      </c>
    </row>
    <row r="252" spans="3:3" ht="19.95" customHeight="1">
      <c r="C252" t="str">
        <f>IFERROR(INDEX(tblCRM[姓名／稱呼],MATCH(tblFollowup[[#This Row],[客戶ID]],tblCRM[客戶ID],0)),"")</f>
        <v/>
      </c>
    </row>
    <row r="253" spans="3:3" ht="19.95" customHeight="1">
      <c r="C253" t="str">
        <f>IFERROR(INDEX(tblCRM[姓名／稱呼],MATCH(tblFollowup[[#This Row],[客戶ID]],tblCRM[客戶ID],0)),"")</f>
        <v/>
      </c>
    </row>
    <row r="254" spans="3:3" ht="19.95" customHeight="1">
      <c r="C254" t="str">
        <f>IFERROR(INDEX(tblCRM[姓名／稱呼],MATCH(tblFollowup[[#This Row],[客戶ID]],tblCRM[客戶ID],0)),"")</f>
        <v/>
      </c>
    </row>
    <row r="255" spans="3:3" ht="19.95" customHeight="1">
      <c r="C255" t="str">
        <f>IFERROR(INDEX(tblCRM[姓名／稱呼],MATCH(tblFollowup[[#This Row],[客戶ID]],tblCRM[客戶ID],0)),"")</f>
        <v/>
      </c>
    </row>
    <row r="256" spans="3:3" ht="19.95" customHeight="1">
      <c r="C256" t="str">
        <f>IFERROR(INDEX(tblCRM[姓名／稱呼],MATCH(tblFollowup[[#This Row],[客戶ID]],tblCRM[客戶ID],0)),"")</f>
        <v/>
      </c>
    </row>
    <row r="257" spans="3:3" ht="19.95" customHeight="1">
      <c r="C257" t="str">
        <f>IFERROR(INDEX(tblCRM[姓名／稱呼],MATCH(tblFollowup[[#This Row],[客戶ID]],tblCRM[客戶ID],0)),"")</f>
        <v/>
      </c>
    </row>
    <row r="258" spans="3:3" ht="19.95" customHeight="1">
      <c r="C258" t="str">
        <f>IFERROR(INDEX(tblCRM[姓名／稱呼],MATCH(tblFollowup[[#This Row],[客戶ID]],tblCRM[客戶ID],0)),"")</f>
        <v/>
      </c>
    </row>
    <row r="259" spans="3:3" ht="19.95" customHeight="1">
      <c r="C259" t="str">
        <f>IFERROR(INDEX(tblCRM[姓名／稱呼],MATCH(tblFollowup[[#This Row],[客戶ID]],tblCRM[客戶ID],0)),"")</f>
        <v/>
      </c>
    </row>
    <row r="260" spans="3:3" ht="19.95" customHeight="1">
      <c r="C260" t="str">
        <f>IFERROR(INDEX(tblCRM[姓名／稱呼],MATCH(tblFollowup[[#This Row],[客戶ID]],tblCRM[客戶ID],0)),"")</f>
        <v/>
      </c>
    </row>
    <row r="261" spans="3:3" ht="19.95" customHeight="1">
      <c r="C261" t="str">
        <f>IFERROR(INDEX(tblCRM[姓名／稱呼],MATCH(tblFollowup[[#This Row],[客戶ID]],tblCRM[客戶ID],0)),"")</f>
        <v/>
      </c>
    </row>
    <row r="262" spans="3:3" ht="19.95" customHeight="1">
      <c r="C262" t="str">
        <f>IFERROR(INDEX(tblCRM[姓名／稱呼],MATCH(tblFollowup[[#This Row],[客戶ID]],tblCRM[客戶ID],0)),"")</f>
        <v/>
      </c>
    </row>
    <row r="263" spans="3:3" ht="19.95" customHeight="1">
      <c r="C263" t="str">
        <f>IFERROR(INDEX(tblCRM[姓名／稱呼],MATCH(tblFollowup[[#This Row],[客戶ID]],tblCRM[客戶ID],0)),"")</f>
        <v/>
      </c>
    </row>
    <row r="264" spans="3:3" ht="19.95" customHeight="1">
      <c r="C264" t="str">
        <f>IFERROR(INDEX(tblCRM[姓名／稱呼],MATCH(tblFollowup[[#This Row],[客戶ID]],tblCRM[客戶ID],0)),"")</f>
        <v/>
      </c>
    </row>
    <row r="265" spans="3:3" ht="19.95" customHeight="1">
      <c r="C265" t="str">
        <f>IFERROR(INDEX(tblCRM[姓名／稱呼],MATCH(tblFollowup[[#This Row],[客戶ID]],tblCRM[客戶ID],0)),"")</f>
        <v/>
      </c>
    </row>
    <row r="266" spans="3:3" ht="19.95" customHeight="1">
      <c r="C266" t="str">
        <f>IFERROR(INDEX(tblCRM[姓名／稱呼],MATCH(tblFollowup[[#This Row],[客戶ID]],tblCRM[客戶ID],0)),"")</f>
        <v/>
      </c>
    </row>
    <row r="267" spans="3:3" ht="19.95" customHeight="1">
      <c r="C267" t="str">
        <f>IFERROR(INDEX(tblCRM[姓名／稱呼],MATCH(tblFollowup[[#This Row],[客戶ID]],tblCRM[客戶ID],0)),"")</f>
        <v/>
      </c>
    </row>
    <row r="268" spans="3:3" ht="19.95" customHeight="1">
      <c r="C268" t="str">
        <f>IFERROR(INDEX(tblCRM[姓名／稱呼],MATCH(tblFollowup[[#This Row],[客戶ID]],tblCRM[客戶ID],0)),"")</f>
        <v/>
      </c>
    </row>
    <row r="269" spans="3:3" ht="19.95" customHeight="1">
      <c r="C269" t="str">
        <f>IFERROR(INDEX(tblCRM[姓名／稱呼],MATCH(tblFollowup[[#This Row],[客戶ID]],tblCRM[客戶ID],0)),"")</f>
        <v/>
      </c>
    </row>
    <row r="270" spans="3:3" ht="19.95" customHeight="1">
      <c r="C270" t="str">
        <f>IFERROR(INDEX(tblCRM[姓名／稱呼],MATCH(tblFollowup[[#This Row],[客戶ID]],tblCRM[客戶ID],0)),"")</f>
        <v/>
      </c>
    </row>
    <row r="271" spans="3:3" ht="19.95" customHeight="1">
      <c r="C271" t="str">
        <f>IFERROR(INDEX(tblCRM[姓名／稱呼],MATCH(tblFollowup[[#This Row],[客戶ID]],tblCRM[客戶ID],0)),"")</f>
        <v/>
      </c>
    </row>
    <row r="272" spans="3:3" ht="19.95" customHeight="1">
      <c r="C272" t="str">
        <f>IFERROR(INDEX(tblCRM[姓名／稱呼],MATCH(tblFollowup[[#This Row],[客戶ID]],tblCRM[客戶ID],0)),"")</f>
        <v/>
      </c>
    </row>
    <row r="273" spans="3:3" ht="19.95" customHeight="1">
      <c r="C273" t="str">
        <f>IFERROR(INDEX(tblCRM[姓名／稱呼],MATCH(tblFollowup[[#This Row],[客戶ID]],tblCRM[客戶ID],0)),"")</f>
        <v/>
      </c>
    </row>
    <row r="274" spans="3:3" ht="19.95" customHeight="1">
      <c r="C274" t="str">
        <f>IFERROR(INDEX(tblCRM[姓名／稱呼],MATCH(tblFollowup[[#This Row],[客戶ID]],tblCRM[客戶ID],0)),"")</f>
        <v/>
      </c>
    </row>
    <row r="275" spans="3:3" ht="19.95" customHeight="1">
      <c r="C275" t="str">
        <f>IFERROR(INDEX(tblCRM[姓名／稱呼],MATCH(tblFollowup[[#This Row],[客戶ID]],tblCRM[客戶ID],0)),"")</f>
        <v/>
      </c>
    </row>
    <row r="276" spans="3:3" ht="19.95" customHeight="1">
      <c r="C276" t="str">
        <f>IFERROR(INDEX(tblCRM[姓名／稱呼],MATCH(tblFollowup[[#This Row],[客戶ID]],tblCRM[客戶ID],0)),"")</f>
        <v/>
      </c>
    </row>
    <row r="277" spans="3:3" ht="19.95" customHeight="1">
      <c r="C277" t="str">
        <f>IFERROR(INDEX(tblCRM[姓名／稱呼],MATCH(tblFollowup[[#This Row],[客戶ID]],tblCRM[客戶ID],0)),"")</f>
        <v/>
      </c>
    </row>
    <row r="278" spans="3:3" ht="19.95" customHeight="1">
      <c r="C278" t="str">
        <f>IFERROR(INDEX(tblCRM[姓名／稱呼],MATCH(tblFollowup[[#This Row],[客戶ID]],tblCRM[客戶ID],0)),"")</f>
        <v/>
      </c>
    </row>
    <row r="279" spans="3:3" ht="19.95" customHeight="1">
      <c r="C279" t="str">
        <f>IFERROR(INDEX(tblCRM[姓名／稱呼],MATCH(tblFollowup[[#This Row],[客戶ID]],tblCRM[客戶ID],0)),"")</f>
        <v/>
      </c>
    </row>
    <row r="280" spans="3:3" ht="19.95" customHeight="1">
      <c r="C280" t="str">
        <f>IFERROR(INDEX(tblCRM[姓名／稱呼],MATCH(tblFollowup[[#This Row],[客戶ID]],tblCRM[客戶ID],0)),"")</f>
        <v/>
      </c>
    </row>
    <row r="281" spans="3:3" ht="19.95" customHeight="1">
      <c r="C281" t="str">
        <f>IFERROR(INDEX(tblCRM[姓名／稱呼],MATCH(tblFollowup[[#This Row],[客戶ID]],tblCRM[客戶ID],0)),"")</f>
        <v/>
      </c>
    </row>
    <row r="282" spans="3:3" ht="19.95" customHeight="1">
      <c r="C282" t="str">
        <f>IFERROR(INDEX(tblCRM[姓名／稱呼],MATCH(tblFollowup[[#This Row],[客戶ID]],tblCRM[客戶ID],0)),"")</f>
        <v/>
      </c>
    </row>
    <row r="283" spans="3:3" ht="19.95" customHeight="1">
      <c r="C283" t="str">
        <f>IFERROR(INDEX(tblCRM[姓名／稱呼],MATCH(tblFollowup[[#This Row],[客戶ID]],tblCRM[客戶ID],0)),"")</f>
        <v/>
      </c>
    </row>
    <row r="284" spans="3:3" ht="19.95" customHeight="1">
      <c r="C284" t="str">
        <f>IFERROR(INDEX(tblCRM[姓名／稱呼],MATCH(tblFollowup[[#This Row],[客戶ID]],tblCRM[客戶ID],0)),"")</f>
        <v/>
      </c>
    </row>
    <row r="285" spans="3:3" ht="19.95" customHeight="1">
      <c r="C285" t="str">
        <f>IFERROR(INDEX(tblCRM[姓名／稱呼],MATCH(tblFollowup[[#This Row],[客戶ID]],tblCRM[客戶ID],0)),"")</f>
        <v/>
      </c>
    </row>
    <row r="286" spans="3:3" ht="19.95" customHeight="1">
      <c r="C286" t="str">
        <f>IFERROR(INDEX(tblCRM[姓名／稱呼],MATCH(tblFollowup[[#This Row],[客戶ID]],tblCRM[客戶ID],0)),"")</f>
        <v/>
      </c>
    </row>
    <row r="287" spans="3:3" ht="19.95" customHeight="1">
      <c r="C287" t="str">
        <f>IFERROR(INDEX(tblCRM[姓名／稱呼],MATCH(tblFollowup[[#This Row],[客戶ID]],tblCRM[客戶ID],0)),"")</f>
        <v/>
      </c>
    </row>
    <row r="288" spans="3:3" ht="19.95" customHeight="1">
      <c r="C288" t="str">
        <f>IFERROR(INDEX(tblCRM[姓名／稱呼],MATCH(tblFollowup[[#This Row],[客戶ID]],tblCRM[客戶ID],0)),"")</f>
        <v/>
      </c>
    </row>
    <row r="289" spans="3:3" ht="19.95" customHeight="1">
      <c r="C289" t="str">
        <f>IFERROR(INDEX(tblCRM[姓名／稱呼],MATCH(tblFollowup[[#This Row],[客戶ID]],tblCRM[客戶ID],0)),"")</f>
        <v/>
      </c>
    </row>
    <row r="290" spans="3:3" ht="19.95" customHeight="1">
      <c r="C290" t="str">
        <f>IFERROR(INDEX(tblCRM[姓名／稱呼],MATCH(tblFollowup[[#This Row],[客戶ID]],tblCRM[客戶ID],0)),"")</f>
        <v/>
      </c>
    </row>
    <row r="291" spans="3:3" ht="19.95" customHeight="1">
      <c r="C291" t="str">
        <f>IFERROR(INDEX(tblCRM[姓名／稱呼],MATCH(tblFollowup[[#This Row],[客戶ID]],tblCRM[客戶ID],0)),"")</f>
        <v/>
      </c>
    </row>
    <row r="292" spans="3:3" ht="19.95" customHeight="1">
      <c r="C292" t="str">
        <f>IFERROR(INDEX(tblCRM[姓名／稱呼],MATCH(tblFollowup[[#This Row],[客戶ID]],tblCRM[客戶ID],0)),"")</f>
        <v/>
      </c>
    </row>
    <row r="293" spans="3:3" ht="19.95" customHeight="1">
      <c r="C293" t="str">
        <f>IFERROR(INDEX(tblCRM[姓名／稱呼],MATCH(tblFollowup[[#This Row],[客戶ID]],tblCRM[客戶ID],0)),"")</f>
        <v/>
      </c>
    </row>
    <row r="294" spans="3:3" ht="19.95" customHeight="1">
      <c r="C294" t="str">
        <f>IFERROR(INDEX(tblCRM[姓名／稱呼],MATCH(tblFollowup[[#This Row],[客戶ID]],tblCRM[客戶ID],0)),"")</f>
        <v/>
      </c>
    </row>
    <row r="295" spans="3:3" ht="19.95" customHeight="1">
      <c r="C295" t="str">
        <f>IFERROR(INDEX(tblCRM[姓名／稱呼],MATCH(tblFollowup[[#This Row],[客戶ID]],tblCRM[客戶ID],0)),"")</f>
        <v/>
      </c>
    </row>
    <row r="296" spans="3:3" ht="19.95" customHeight="1">
      <c r="C296" t="str">
        <f>IFERROR(INDEX(tblCRM[姓名／稱呼],MATCH(tblFollowup[[#This Row],[客戶ID]],tblCRM[客戶ID],0)),"")</f>
        <v/>
      </c>
    </row>
    <row r="297" spans="3:3" ht="19.95" customHeight="1">
      <c r="C297" t="str">
        <f>IFERROR(INDEX(tblCRM[姓名／稱呼],MATCH(tblFollowup[[#This Row],[客戶ID]],tblCRM[客戶ID],0)),"")</f>
        <v/>
      </c>
    </row>
    <row r="298" spans="3:3" ht="19.95" customHeight="1">
      <c r="C298" t="str">
        <f>IFERROR(INDEX(tblCRM[姓名／稱呼],MATCH(tblFollowup[[#This Row],[客戶ID]],tblCRM[客戶ID],0)),"")</f>
        <v/>
      </c>
    </row>
    <row r="299" spans="3:3" ht="19.95" customHeight="1">
      <c r="C299" t="str">
        <f>IFERROR(INDEX(tblCRM[姓名／稱呼],MATCH(tblFollowup[[#This Row],[客戶ID]],tblCRM[客戶ID],0)),"")</f>
        <v/>
      </c>
    </row>
    <row r="300" spans="3:3" ht="19.95" customHeight="1">
      <c r="C300" t="str">
        <f>IFERROR(INDEX(tblCRM[姓名／稱呼],MATCH(tblFollowup[[#This Row],[客戶ID]],tblCRM[客戶ID],0)),"")</f>
        <v/>
      </c>
    </row>
    <row r="301" spans="3:3" ht="19.95" customHeight="1">
      <c r="C301" t="str">
        <f>IFERROR(INDEX(tblCRM[姓名／稱呼],MATCH(tblFollowup[[#This Row],[客戶ID]],tblCRM[客戶ID],0)),"")</f>
        <v/>
      </c>
    </row>
    <row r="302" spans="3:3" ht="19.95" customHeight="1">
      <c r="C302" t="str">
        <f>IFERROR(INDEX(tblCRM[姓名／稱呼],MATCH(tblFollowup[[#This Row],[客戶ID]],tblCRM[客戶ID],0)),"")</f>
        <v/>
      </c>
    </row>
    <row r="303" spans="3:3" ht="19.95" customHeight="1">
      <c r="C303" t="str">
        <f>IFERROR(INDEX(tblCRM[姓名／稱呼],MATCH(tblFollowup[[#This Row],[客戶ID]],tblCRM[客戶ID],0)),"")</f>
        <v/>
      </c>
    </row>
    <row r="304" spans="3:3" ht="19.95" customHeight="1">
      <c r="C304" t="str">
        <f>IFERROR(INDEX(tblCRM[姓名／稱呼],MATCH(tblFollowup[[#This Row],[客戶ID]],tblCRM[客戶ID],0)),"")</f>
        <v/>
      </c>
    </row>
  </sheetData>
  <mergeCells count="2">
    <mergeCell ref="A1:M1"/>
    <mergeCell ref="A2:M2"/>
  </mergeCells>
  <phoneticPr fontId="8" type="noConversion"/>
  <conditionalFormatting sqref="F5:F304">
    <cfRule type="expression" dxfId="5" priority="1">
      <formula>AND($F5&lt;TODAY(),$I5&lt;&gt;"已完成",$F5&lt;&gt;"")</formula>
    </cfRule>
  </conditionalFormatting>
  <dataValidations count="2">
    <dataValidation type="list" allowBlank="1" showInputMessage="1" showErrorMessage="1" sqref="I5:I304" xr:uid="{00000000-0002-0000-0A00-000000000000}">
      <formula1>GENERAL_STATUS</formula1>
    </dataValidation>
    <dataValidation type="list" allowBlank="1" showInputMessage="1" showErrorMessage="1" sqref="M5:M304" xr:uid="{00000000-0002-0000-0A00-000001000000}">
      <formula1>OWNER_LIST</formula1>
    </dataValidation>
  </dataValidations>
  <pageMargins left="0.25" right="0.25" top="0.4" bottom="0.4" header="0.3" footer="0.3"/>
  <pageSetup fitToHeight="0" orientation="landscape"/>
  <headerFooter>
    <oddHeader>&amp;L希望之光 Hope Light&amp;C品牌營運管理系統&amp;R&amp;D</oddHeader>
    <oddFooter>&amp;L[Codex] 初版｜待確認資料不可直接對外&amp;R第 &amp;P / &amp;N 頁</oddFooter>
  </headerFooter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243B5A"/>
    <pageSetUpPr fitToPage="1"/>
  </sheetPr>
  <dimension ref="A1:T44"/>
  <sheetViews>
    <sheetView showGridLines="0" workbookViewId="0">
      <pane ySplit="4" topLeftCell="A5" activePane="bottomLeft" state="frozen"/>
      <selection pane="bottomLeft"/>
    </sheetView>
  </sheetViews>
  <sheetFormatPr defaultRowHeight="19.95" customHeight="1"/>
  <cols>
    <col min="1" max="1" width="14.75" customWidth="1"/>
    <col min="2" max="2" width="18.75" customWidth="1"/>
    <col min="3" max="3" width="12.75" customWidth="1"/>
    <col min="4" max="4" width="13.75" customWidth="1"/>
    <col min="5" max="5" width="52.75" customWidth="1"/>
    <col min="6" max="6" width="25.75" customWidth="1"/>
    <col min="7" max="8" width="18.75" customWidth="1"/>
    <col min="9" max="9" width="12.75" customWidth="1"/>
    <col min="10" max="11" width="28.75" customWidth="1"/>
    <col min="12" max="12" width="45.75" customWidth="1"/>
    <col min="13" max="13" width="10.75" customWidth="1"/>
    <col min="14" max="17" width="13.75" customWidth="1"/>
    <col min="18" max="18" width="30.75" customWidth="1"/>
    <col min="19" max="19" width="12.75" customWidth="1"/>
    <col min="20" max="20" width="40.75" customWidth="1"/>
  </cols>
  <sheetData>
    <row r="1" spans="1:20" ht="34.049999999999997" customHeight="1">
      <c r="A1" s="9" t="s">
        <v>770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2" spans="1:20" ht="31.05" customHeight="1">
      <c r="A2" s="10" t="s">
        <v>771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4" spans="1:20" ht="19.95" customHeight="1">
      <c r="A4" t="s">
        <v>772</v>
      </c>
      <c r="B4" t="s">
        <v>773</v>
      </c>
      <c r="C4" t="s">
        <v>774</v>
      </c>
      <c r="D4" t="s">
        <v>775</v>
      </c>
      <c r="E4" t="s">
        <v>776</v>
      </c>
      <c r="F4" t="s">
        <v>777</v>
      </c>
      <c r="G4" t="s">
        <v>778</v>
      </c>
      <c r="H4" t="s">
        <v>399</v>
      </c>
      <c r="I4" t="s">
        <v>779</v>
      </c>
      <c r="J4" t="s">
        <v>531</v>
      </c>
      <c r="K4" t="s">
        <v>780</v>
      </c>
      <c r="L4" t="s">
        <v>781</v>
      </c>
      <c r="M4" t="s">
        <v>534</v>
      </c>
      <c r="N4" t="s">
        <v>79</v>
      </c>
      <c r="O4" t="s">
        <v>782</v>
      </c>
      <c r="P4" t="s">
        <v>783</v>
      </c>
      <c r="Q4" t="s">
        <v>784</v>
      </c>
      <c r="R4" t="s">
        <v>785</v>
      </c>
      <c r="S4" t="s">
        <v>703</v>
      </c>
      <c r="T4" t="s">
        <v>415</v>
      </c>
    </row>
    <row r="5" spans="1:20" ht="19.95" customHeight="1">
      <c r="A5" t="s">
        <v>786</v>
      </c>
      <c r="B5" t="s">
        <v>787</v>
      </c>
      <c r="C5" t="s">
        <v>788</v>
      </c>
      <c r="D5" t="s">
        <v>789</v>
      </c>
      <c r="E5" t="s">
        <v>790</v>
      </c>
      <c r="F5" t="s">
        <v>791</v>
      </c>
      <c r="G5" t="s">
        <v>505</v>
      </c>
      <c r="H5" t="s">
        <v>501</v>
      </c>
      <c r="I5" t="s">
        <v>792</v>
      </c>
      <c r="J5" t="s">
        <v>793</v>
      </c>
      <c r="K5" t="s">
        <v>794</v>
      </c>
      <c r="L5" t="s">
        <v>795</v>
      </c>
      <c r="M5" t="s">
        <v>589</v>
      </c>
      <c r="N5" t="s">
        <v>796</v>
      </c>
    </row>
    <row r="6" spans="1:20" ht="19.95" customHeight="1">
      <c r="A6" t="s">
        <v>797</v>
      </c>
      <c r="B6" t="s">
        <v>787</v>
      </c>
      <c r="C6" t="s">
        <v>788</v>
      </c>
      <c r="D6" t="s">
        <v>798</v>
      </c>
      <c r="E6" t="s">
        <v>799</v>
      </c>
      <c r="F6" t="s">
        <v>800</v>
      </c>
      <c r="G6" t="s">
        <v>505</v>
      </c>
      <c r="H6" t="s">
        <v>501</v>
      </c>
      <c r="I6" t="s">
        <v>792</v>
      </c>
      <c r="J6" t="s">
        <v>47</v>
      </c>
      <c r="K6" t="s">
        <v>801</v>
      </c>
      <c r="L6" t="s">
        <v>802</v>
      </c>
      <c r="M6" t="s">
        <v>589</v>
      </c>
      <c r="N6" t="s">
        <v>796</v>
      </c>
    </row>
    <row r="7" spans="1:20" ht="19.95" customHeight="1">
      <c r="A7" t="s">
        <v>803</v>
      </c>
      <c r="B7" t="s">
        <v>787</v>
      </c>
      <c r="C7" t="s">
        <v>788</v>
      </c>
      <c r="D7" t="s">
        <v>804</v>
      </c>
      <c r="E7" t="s">
        <v>805</v>
      </c>
      <c r="F7" t="s">
        <v>806</v>
      </c>
      <c r="G7" t="s">
        <v>505</v>
      </c>
      <c r="H7" t="s">
        <v>501</v>
      </c>
      <c r="I7" t="s">
        <v>807</v>
      </c>
      <c r="J7" t="s">
        <v>808</v>
      </c>
      <c r="K7" t="s">
        <v>809</v>
      </c>
      <c r="L7" t="s">
        <v>810</v>
      </c>
      <c r="M7" t="s">
        <v>811</v>
      </c>
      <c r="N7" t="s">
        <v>796</v>
      </c>
    </row>
    <row r="8" spans="1:20" ht="19.95" customHeight="1">
      <c r="A8" t="s">
        <v>812</v>
      </c>
      <c r="B8" t="s">
        <v>787</v>
      </c>
      <c r="C8" t="s">
        <v>813</v>
      </c>
      <c r="D8" t="s">
        <v>789</v>
      </c>
      <c r="E8" t="s">
        <v>814</v>
      </c>
      <c r="F8" t="s">
        <v>815</v>
      </c>
      <c r="G8" t="s">
        <v>505</v>
      </c>
      <c r="H8" t="s">
        <v>501</v>
      </c>
      <c r="I8" t="s">
        <v>792</v>
      </c>
      <c r="J8" t="s">
        <v>816</v>
      </c>
      <c r="K8" t="s">
        <v>817</v>
      </c>
      <c r="L8" t="s">
        <v>818</v>
      </c>
      <c r="M8" t="s">
        <v>589</v>
      </c>
      <c r="N8" t="s">
        <v>796</v>
      </c>
    </row>
    <row r="9" spans="1:20" ht="19.95" customHeight="1">
      <c r="A9" t="s">
        <v>819</v>
      </c>
      <c r="B9" t="s">
        <v>787</v>
      </c>
      <c r="C9" t="s">
        <v>813</v>
      </c>
      <c r="D9" t="s">
        <v>798</v>
      </c>
      <c r="E9" t="s">
        <v>820</v>
      </c>
      <c r="F9" t="s">
        <v>821</v>
      </c>
      <c r="G9" t="s">
        <v>505</v>
      </c>
      <c r="H9" t="s">
        <v>501</v>
      </c>
      <c r="I9" t="s">
        <v>792</v>
      </c>
      <c r="J9" t="s">
        <v>47</v>
      </c>
      <c r="K9" t="s">
        <v>822</v>
      </c>
      <c r="L9" t="s">
        <v>823</v>
      </c>
      <c r="M9" t="s">
        <v>589</v>
      </c>
      <c r="N9" t="s">
        <v>796</v>
      </c>
    </row>
    <row r="10" spans="1:20" ht="19.95" customHeight="1">
      <c r="A10" t="s">
        <v>824</v>
      </c>
      <c r="B10" t="s">
        <v>787</v>
      </c>
      <c r="C10" t="s">
        <v>813</v>
      </c>
      <c r="D10" t="s">
        <v>804</v>
      </c>
      <c r="E10" t="s">
        <v>825</v>
      </c>
      <c r="F10" t="s">
        <v>826</v>
      </c>
      <c r="G10" t="s">
        <v>505</v>
      </c>
      <c r="H10" t="s">
        <v>501</v>
      </c>
      <c r="I10" t="s">
        <v>807</v>
      </c>
      <c r="J10" t="s">
        <v>827</v>
      </c>
      <c r="K10" t="s">
        <v>828</v>
      </c>
      <c r="L10" t="s">
        <v>829</v>
      </c>
      <c r="M10" t="s">
        <v>543</v>
      </c>
      <c r="N10" t="s">
        <v>796</v>
      </c>
    </row>
    <row r="11" spans="1:20" ht="19.95" customHeight="1">
      <c r="A11" t="s">
        <v>830</v>
      </c>
      <c r="B11" t="s">
        <v>787</v>
      </c>
      <c r="C11" t="s">
        <v>813</v>
      </c>
      <c r="D11" t="s">
        <v>798</v>
      </c>
      <c r="E11" t="s">
        <v>831</v>
      </c>
      <c r="F11" t="s">
        <v>832</v>
      </c>
      <c r="G11" t="s">
        <v>449</v>
      </c>
      <c r="H11" t="s">
        <v>509</v>
      </c>
      <c r="I11" t="s">
        <v>807</v>
      </c>
      <c r="J11" t="s">
        <v>833</v>
      </c>
      <c r="K11" t="s">
        <v>834</v>
      </c>
      <c r="L11" t="s">
        <v>835</v>
      </c>
      <c r="M11" t="s">
        <v>811</v>
      </c>
      <c r="N11" t="s">
        <v>796</v>
      </c>
    </row>
    <row r="12" spans="1:20" ht="19.95" customHeight="1">
      <c r="A12" t="s">
        <v>836</v>
      </c>
      <c r="B12" t="s">
        <v>787</v>
      </c>
      <c r="C12" t="s">
        <v>837</v>
      </c>
      <c r="D12" t="s">
        <v>804</v>
      </c>
      <c r="E12" t="s">
        <v>838</v>
      </c>
      <c r="F12" t="s">
        <v>839</v>
      </c>
      <c r="G12" t="s">
        <v>158</v>
      </c>
      <c r="H12" t="s">
        <v>501</v>
      </c>
      <c r="I12" t="s">
        <v>807</v>
      </c>
      <c r="J12" t="s">
        <v>840</v>
      </c>
      <c r="K12" t="s">
        <v>841</v>
      </c>
      <c r="L12" t="s">
        <v>842</v>
      </c>
      <c r="M12" t="s">
        <v>811</v>
      </c>
      <c r="N12" t="s">
        <v>796</v>
      </c>
    </row>
    <row r="13" spans="1:20" ht="19.95" customHeight="1">
      <c r="A13" t="s">
        <v>843</v>
      </c>
      <c r="B13" t="s">
        <v>787</v>
      </c>
      <c r="C13" t="s">
        <v>788</v>
      </c>
      <c r="D13" t="s">
        <v>844</v>
      </c>
      <c r="E13" t="s">
        <v>845</v>
      </c>
      <c r="F13" t="s">
        <v>846</v>
      </c>
      <c r="G13" t="s">
        <v>847</v>
      </c>
      <c r="H13" t="s">
        <v>501</v>
      </c>
      <c r="I13" t="s">
        <v>792</v>
      </c>
      <c r="J13" t="s">
        <v>47</v>
      </c>
      <c r="K13" t="s">
        <v>848</v>
      </c>
      <c r="L13" t="s">
        <v>849</v>
      </c>
      <c r="M13" t="s">
        <v>589</v>
      </c>
      <c r="N13" t="s">
        <v>796</v>
      </c>
    </row>
    <row r="14" spans="1:20" ht="19.95" customHeight="1">
      <c r="A14" t="s">
        <v>850</v>
      </c>
      <c r="B14" t="s">
        <v>787</v>
      </c>
      <c r="C14" t="s">
        <v>813</v>
      </c>
      <c r="D14" t="s">
        <v>789</v>
      </c>
      <c r="E14" t="s">
        <v>851</v>
      </c>
      <c r="F14" t="s">
        <v>852</v>
      </c>
      <c r="G14" t="s">
        <v>449</v>
      </c>
      <c r="H14" t="s">
        <v>509</v>
      </c>
      <c r="I14" t="s">
        <v>792</v>
      </c>
      <c r="J14" t="s">
        <v>853</v>
      </c>
      <c r="K14" t="s">
        <v>854</v>
      </c>
      <c r="L14" t="s">
        <v>855</v>
      </c>
      <c r="M14" t="s">
        <v>589</v>
      </c>
      <c r="N14" t="s">
        <v>796</v>
      </c>
    </row>
    <row r="15" spans="1:20" ht="19.95" customHeight="1">
      <c r="A15" t="s">
        <v>856</v>
      </c>
      <c r="B15" t="s">
        <v>787</v>
      </c>
      <c r="C15" t="s">
        <v>837</v>
      </c>
      <c r="D15" t="s">
        <v>804</v>
      </c>
      <c r="E15" t="s">
        <v>857</v>
      </c>
      <c r="F15" t="s">
        <v>858</v>
      </c>
      <c r="G15" t="s">
        <v>505</v>
      </c>
      <c r="H15" t="s">
        <v>501</v>
      </c>
      <c r="I15" t="s">
        <v>859</v>
      </c>
      <c r="J15" t="s">
        <v>860</v>
      </c>
      <c r="K15" t="s">
        <v>861</v>
      </c>
      <c r="L15" t="s">
        <v>862</v>
      </c>
      <c r="M15" t="s">
        <v>811</v>
      </c>
      <c r="N15" t="s">
        <v>796</v>
      </c>
    </row>
    <row r="16" spans="1:20" ht="19.95" customHeight="1">
      <c r="A16" t="s">
        <v>863</v>
      </c>
      <c r="B16" t="s">
        <v>787</v>
      </c>
      <c r="C16" t="s">
        <v>864</v>
      </c>
      <c r="D16" t="s">
        <v>789</v>
      </c>
      <c r="E16" t="s">
        <v>865</v>
      </c>
      <c r="F16" t="s">
        <v>866</v>
      </c>
      <c r="G16" t="s">
        <v>517</v>
      </c>
      <c r="H16" t="s">
        <v>513</v>
      </c>
      <c r="I16" t="s">
        <v>792</v>
      </c>
      <c r="J16" t="s">
        <v>867</v>
      </c>
      <c r="K16" t="s">
        <v>868</v>
      </c>
      <c r="L16" t="s">
        <v>869</v>
      </c>
      <c r="M16" t="s">
        <v>589</v>
      </c>
      <c r="N16" t="s">
        <v>796</v>
      </c>
    </row>
    <row r="17" spans="1:14" ht="19.95" customHeight="1">
      <c r="A17" t="s">
        <v>870</v>
      </c>
      <c r="B17" t="s">
        <v>787</v>
      </c>
      <c r="C17" t="s">
        <v>813</v>
      </c>
      <c r="D17" t="s">
        <v>804</v>
      </c>
      <c r="E17" t="s">
        <v>871</v>
      </c>
      <c r="F17" t="s">
        <v>872</v>
      </c>
      <c r="G17" t="s">
        <v>517</v>
      </c>
      <c r="H17" t="s">
        <v>513</v>
      </c>
      <c r="I17" t="s">
        <v>807</v>
      </c>
      <c r="J17" t="s">
        <v>873</v>
      </c>
      <c r="K17" t="s">
        <v>874</v>
      </c>
      <c r="L17" t="s">
        <v>875</v>
      </c>
      <c r="M17" t="s">
        <v>811</v>
      </c>
      <c r="N17" t="s">
        <v>796</v>
      </c>
    </row>
    <row r="18" spans="1:14" ht="19.95" customHeight="1">
      <c r="A18" t="s">
        <v>876</v>
      </c>
      <c r="B18" t="s">
        <v>787</v>
      </c>
      <c r="C18" t="s">
        <v>788</v>
      </c>
      <c r="D18" t="s">
        <v>789</v>
      </c>
      <c r="E18" t="s">
        <v>877</v>
      </c>
      <c r="F18" t="s">
        <v>878</v>
      </c>
      <c r="G18" t="s">
        <v>505</v>
      </c>
      <c r="H18" t="s">
        <v>501</v>
      </c>
      <c r="I18" t="s">
        <v>792</v>
      </c>
      <c r="J18" t="s">
        <v>879</v>
      </c>
      <c r="K18" t="s">
        <v>880</v>
      </c>
      <c r="L18" t="s">
        <v>881</v>
      </c>
      <c r="M18" t="s">
        <v>543</v>
      </c>
      <c r="N18" t="s">
        <v>796</v>
      </c>
    </row>
    <row r="19" spans="1:14" ht="19.95" customHeight="1">
      <c r="A19" t="s">
        <v>882</v>
      </c>
      <c r="B19" t="s">
        <v>787</v>
      </c>
      <c r="C19" t="s">
        <v>788</v>
      </c>
      <c r="D19" t="s">
        <v>798</v>
      </c>
      <c r="E19" t="s">
        <v>883</v>
      </c>
      <c r="F19" t="s">
        <v>884</v>
      </c>
      <c r="G19" t="s">
        <v>885</v>
      </c>
      <c r="H19" t="s">
        <v>488</v>
      </c>
      <c r="I19" t="s">
        <v>792</v>
      </c>
      <c r="J19" t="s">
        <v>886</v>
      </c>
      <c r="K19" t="s">
        <v>887</v>
      </c>
      <c r="L19" t="s">
        <v>888</v>
      </c>
      <c r="M19" t="s">
        <v>543</v>
      </c>
      <c r="N19" t="s">
        <v>796</v>
      </c>
    </row>
    <row r="20" spans="1:14" ht="19.95" customHeight="1">
      <c r="A20" t="s">
        <v>889</v>
      </c>
      <c r="B20" t="s">
        <v>890</v>
      </c>
      <c r="C20" t="s">
        <v>788</v>
      </c>
      <c r="D20" t="s">
        <v>844</v>
      </c>
      <c r="E20" t="s">
        <v>891</v>
      </c>
      <c r="F20" t="s">
        <v>892</v>
      </c>
      <c r="G20" t="s">
        <v>885</v>
      </c>
      <c r="H20" t="s">
        <v>460</v>
      </c>
      <c r="I20" t="s">
        <v>792</v>
      </c>
      <c r="J20" t="s">
        <v>47</v>
      </c>
      <c r="K20" t="s">
        <v>893</v>
      </c>
      <c r="L20" t="s">
        <v>894</v>
      </c>
      <c r="M20" t="s">
        <v>589</v>
      </c>
      <c r="N20" t="s">
        <v>796</v>
      </c>
    </row>
    <row r="21" spans="1:14" ht="19.95" customHeight="1">
      <c r="A21" t="s">
        <v>895</v>
      </c>
      <c r="B21" t="s">
        <v>890</v>
      </c>
      <c r="C21" t="s">
        <v>788</v>
      </c>
      <c r="D21" t="s">
        <v>804</v>
      </c>
      <c r="E21" t="s">
        <v>896</v>
      </c>
      <c r="F21" t="s">
        <v>897</v>
      </c>
      <c r="G21" t="s">
        <v>885</v>
      </c>
      <c r="H21" t="s">
        <v>482</v>
      </c>
      <c r="I21" t="s">
        <v>792</v>
      </c>
      <c r="J21" t="s">
        <v>898</v>
      </c>
      <c r="K21" t="s">
        <v>899</v>
      </c>
      <c r="L21" t="s">
        <v>900</v>
      </c>
      <c r="M21" t="s">
        <v>589</v>
      </c>
      <c r="N21" t="s">
        <v>796</v>
      </c>
    </row>
    <row r="22" spans="1:14" ht="19.95" customHeight="1">
      <c r="A22" t="s">
        <v>901</v>
      </c>
      <c r="B22" t="s">
        <v>890</v>
      </c>
      <c r="C22" t="s">
        <v>813</v>
      </c>
      <c r="D22" t="s">
        <v>804</v>
      </c>
      <c r="E22" t="s">
        <v>902</v>
      </c>
      <c r="F22" t="s">
        <v>903</v>
      </c>
      <c r="G22" t="s">
        <v>885</v>
      </c>
      <c r="H22" t="s">
        <v>460</v>
      </c>
      <c r="I22" t="s">
        <v>807</v>
      </c>
      <c r="J22" t="s">
        <v>904</v>
      </c>
      <c r="K22" t="s">
        <v>905</v>
      </c>
      <c r="L22" t="s">
        <v>906</v>
      </c>
      <c r="M22" t="s">
        <v>543</v>
      </c>
      <c r="N22" t="s">
        <v>796</v>
      </c>
    </row>
    <row r="23" spans="1:14" ht="19.95" customHeight="1">
      <c r="A23" t="s">
        <v>907</v>
      </c>
      <c r="B23" t="s">
        <v>890</v>
      </c>
      <c r="C23" t="s">
        <v>788</v>
      </c>
      <c r="D23" t="s">
        <v>789</v>
      </c>
      <c r="E23" t="s">
        <v>908</v>
      </c>
      <c r="F23" t="s">
        <v>909</v>
      </c>
      <c r="G23" t="s">
        <v>885</v>
      </c>
      <c r="H23" t="s">
        <v>468</v>
      </c>
      <c r="I23" t="s">
        <v>910</v>
      </c>
      <c r="J23" t="s">
        <v>911</v>
      </c>
      <c r="K23" t="s">
        <v>912</v>
      </c>
      <c r="L23" t="s">
        <v>913</v>
      </c>
      <c r="M23" t="s">
        <v>543</v>
      </c>
      <c r="N23" t="s">
        <v>796</v>
      </c>
    </row>
    <row r="24" spans="1:14" ht="19.95" customHeight="1">
      <c r="A24" t="s">
        <v>914</v>
      </c>
      <c r="B24" t="s">
        <v>890</v>
      </c>
      <c r="C24" t="s">
        <v>788</v>
      </c>
      <c r="D24" t="s">
        <v>789</v>
      </c>
      <c r="E24" t="s">
        <v>915</v>
      </c>
      <c r="F24" t="s">
        <v>916</v>
      </c>
      <c r="G24" t="s">
        <v>885</v>
      </c>
      <c r="H24" t="s">
        <v>470</v>
      </c>
      <c r="I24" t="s">
        <v>910</v>
      </c>
      <c r="J24" t="s">
        <v>917</v>
      </c>
      <c r="K24" t="s">
        <v>918</v>
      </c>
      <c r="L24" t="s">
        <v>919</v>
      </c>
      <c r="M24" t="s">
        <v>589</v>
      </c>
      <c r="N24" t="s">
        <v>796</v>
      </c>
    </row>
    <row r="25" spans="1:14" ht="19.95" customHeight="1">
      <c r="A25" t="s">
        <v>920</v>
      </c>
      <c r="B25" t="s">
        <v>890</v>
      </c>
      <c r="C25" t="s">
        <v>788</v>
      </c>
      <c r="D25" t="s">
        <v>789</v>
      </c>
      <c r="E25" t="s">
        <v>921</v>
      </c>
      <c r="F25" t="s">
        <v>922</v>
      </c>
      <c r="G25" t="s">
        <v>885</v>
      </c>
      <c r="H25" t="s">
        <v>485</v>
      </c>
      <c r="I25" t="s">
        <v>910</v>
      </c>
      <c r="J25" t="s">
        <v>923</v>
      </c>
      <c r="K25" t="s">
        <v>924</v>
      </c>
      <c r="L25" t="s">
        <v>925</v>
      </c>
      <c r="M25" t="s">
        <v>543</v>
      </c>
      <c r="N25" t="s">
        <v>796</v>
      </c>
    </row>
    <row r="26" spans="1:14" ht="19.95" customHeight="1">
      <c r="A26" t="s">
        <v>926</v>
      </c>
      <c r="B26" t="s">
        <v>890</v>
      </c>
      <c r="C26" t="s">
        <v>813</v>
      </c>
      <c r="D26" t="s">
        <v>804</v>
      </c>
      <c r="E26" t="s">
        <v>927</v>
      </c>
      <c r="F26" t="s">
        <v>839</v>
      </c>
      <c r="G26" t="s">
        <v>885</v>
      </c>
      <c r="H26" t="s">
        <v>492</v>
      </c>
      <c r="I26" t="s">
        <v>807</v>
      </c>
      <c r="J26" t="s">
        <v>928</v>
      </c>
      <c r="K26" t="s">
        <v>929</v>
      </c>
      <c r="L26" t="s">
        <v>930</v>
      </c>
      <c r="M26" t="s">
        <v>811</v>
      </c>
      <c r="N26" t="s">
        <v>796</v>
      </c>
    </row>
    <row r="27" spans="1:14" ht="19.95" customHeight="1">
      <c r="A27" t="s">
        <v>931</v>
      </c>
      <c r="B27" t="s">
        <v>890</v>
      </c>
      <c r="C27" t="s">
        <v>837</v>
      </c>
      <c r="D27" t="s">
        <v>804</v>
      </c>
      <c r="E27" t="s">
        <v>932</v>
      </c>
      <c r="F27" t="s">
        <v>933</v>
      </c>
      <c r="G27" t="s">
        <v>934</v>
      </c>
      <c r="H27" t="s">
        <v>492</v>
      </c>
      <c r="I27" t="s">
        <v>807</v>
      </c>
      <c r="J27" t="s">
        <v>935</v>
      </c>
      <c r="K27" t="s">
        <v>936</v>
      </c>
      <c r="L27" t="s">
        <v>937</v>
      </c>
      <c r="M27" t="s">
        <v>589</v>
      </c>
      <c r="N27" t="s">
        <v>796</v>
      </c>
    </row>
    <row r="28" spans="1:14" ht="19.95" customHeight="1">
      <c r="A28" t="s">
        <v>938</v>
      </c>
      <c r="B28" t="s">
        <v>890</v>
      </c>
      <c r="C28" t="s">
        <v>864</v>
      </c>
      <c r="D28" t="s">
        <v>804</v>
      </c>
      <c r="E28" t="s">
        <v>939</v>
      </c>
      <c r="F28" t="s">
        <v>940</v>
      </c>
      <c r="G28" t="s">
        <v>847</v>
      </c>
      <c r="H28" t="s">
        <v>460</v>
      </c>
      <c r="I28" t="s">
        <v>941</v>
      </c>
      <c r="J28" t="s">
        <v>942</v>
      </c>
      <c r="K28" t="s">
        <v>943</v>
      </c>
      <c r="L28" t="s">
        <v>944</v>
      </c>
      <c r="M28" t="s">
        <v>811</v>
      </c>
      <c r="N28" t="s">
        <v>796</v>
      </c>
    </row>
    <row r="29" spans="1:14" ht="19.95" customHeight="1">
      <c r="A29" t="s">
        <v>945</v>
      </c>
      <c r="B29" t="s">
        <v>890</v>
      </c>
      <c r="C29" t="s">
        <v>788</v>
      </c>
      <c r="D29" t="s">
        <v>844</v>
      </c>
      <c r="E29" t="s">
        <v>946</v>
      </c>
      <c r="F29" t="s">
        <v>947</v>
      </c>
      <c r="G29" t="s">
        <v>885</v>
      </c>
      <c r="H29" t="s">
        <v>460</v>
      </c>
      <c r="I29" t="s">
        <v>792</v>
      </c>
      <c r="J29" t="s">
        <v>47</v>
      </c>
      <c r="K29" t="s">
        <v>948</v>
      </c>
      <c r="L29" t="s">
        <v>949</v>
      </c>
      <c r="M29" t="s">
        <v>811</v>
      </c>
      <c r="N29" t="s">
        <v>796</v>
      </c>
    </row>
    <row r="30" spans="1:14" ht="19.95" customHeight="1">
      <c r="A30" t="s">
        <v>950</v>
      </c>
      <c r="B30" t="s">
        <v>890</v>
      </c>
      <c r="C30" t="s">
        <v>788</v>
      </c>
      <c r="D30" t="s">
        <v>798</v>
      </c>
      <c r="E30" t="s">
        <v>951</v>
      </c>
      <c r="F30" t="s">
        <v>952</v>
      </c>
      <c r="G30" t="s">
        <v>885</v>
      </c>
      <c r="H30" t="s">
        <v>482</v>
      </c>
      <c r="I30" t="s">
        <v>792</v>
      </c>
      <c r="J30" t="s">
        <v>953</v>
      </c>
      <c r="K30" t="s">
        <v>954</v>
      </c>
      <c r="L30" t="s">
        <v>955</v>
      </c>
      <c r="M30" t="s">
        <v>589</v>
      </c>
      <c r="N30" t="s">
        <v>796</v>
      </c>
    </row>
    <row r="31" spans="1:14" ht="19.95" customHeight="1">
      <c r="A31" t="s">
        <v>956</v>
      </c>
      <c r="B31" t="s">
        <v>890</v>
      </c>
      <c r="C31" t="s">
        <v>788</v>
      </c>
      <c r="D31" t="s">
        <v>789</v>
      </c>
      <c r="E31" t="s">
        <v>957</v>
      </c>
      <c r="F31" t="s">
        <v>878</v>
      </c>
      <c r="G31" t="s">
        <v>885</v>
      </c>
      <c r="H31" t="s">
        <v>476</v>
      </c>
      <c r="I31" t="s">
        <v>910</v>
      </c>
      <c r="J31" t="s">
        <v>958</v>
      </c>
      <c r="K31" t="s">
        <v>959</v>
      </c>
      <c r="L31" t="s">
        <v>960</v>
      </c>
      <c r="M31" t="s">
        <v>543</v>
      </c>
      <c r="N31" t="s">
        <v>796</v>
      </c>
    </row>
    <row r="32" spans="1:14" ht="19.95" customHeight="1">
      <c r="A32" t="s">
        <v>961</v>
      </c>
      <c r="B32" t="s">
        <v>890</v>
      </c>
      <c r="C32" t="s">
        <v>788</v>
      </c>
      <c r="D32" t="s">
        <v>789</v>
      </c>
      <c r="E32" t="s">
        <v>962</v>
      </c>
      <c r="F32" t="s">
        <v>963</v>
      </c>
      <c r="G32" t="s">
        <v>885</v>
      </c>
      <c r="H32" t="s">
        <v>479</v>
      </c>
      <c r="I32" t="s">
        <v>910</v>
      </c>
      <c r="J32" t="s">
        <v>964</v>
      </c>
      <c r="K32" t="s">
        <v>965</v>
      </c>
      <c r="L32" t="s">
        <v>966</v>
      </c>
      <c r="M32" t="s">
        <v>589</v>
      </c>
      <c r="N32" t="s">
        <v>796</v>
      </c>
    </row>
    <row r="33" spans="1:14" ht="19.95" customHeight="1">
      <c r="A33" t="s">
        <v>967</v>
      </c>
      <c r="B33" t="s">
        <v>890</v>
      </c>
      <c r="C33" t="s">
        <v>813</v>
      </c>
      <c r="D33" t="s">
        <v>804</v>
      </c>
      <c r="E33" t="s">
        <v>968</v>
      </c>
      <c r="F33" t="s">
        <v>969</v>
      </c>
      <c r="G33" t="s">
        <v>885</v>
      </c>
      <c r="H33" t="s">
        <v>460</v>
      </c>
      <c r="I33" t="s">
        <v>807</v>
      </c>
      <c r="J33" t="s">
        <v>970</v>
      </c>
      <c r="K33" t="s">
        <v>971</v>
      </c>
      <c r="L33" t="s">
        <v>972</v>
      </c>
      <c r="M33" t="s">
        <v>543</v>
      </c>
      <c r="N33" t="s">
        <v>796</v>
      </c>
    </row>
    <row r="34" spans="1:14" ht="19.95" customHeight="1">
      <c r="A34" t="s">
        <v>973</v>
      </c>
      <c r="B34" t="s">
        <v>890</v>
      </c>
      <c r="C34" t="s">
        <v>813</v>
      </c>
      <c r="D34" t="s">
        <v>789</v>
      </c>
      <c r="E34" t="s">
        <v>974</v>
      </c>
      <c r="F34" t="s">
        <v>975</v>
      </c>
      <c r="G34" t="s">
        <v>885</v>
      </c>
      <c r="H34" t="s">
        <v>474</v>
      </c>
      <c r="I34" t="s">
        <v>910</v>
      </c>
      <c r="J34" t="s">
        <v>976</v>
      </c>
      <c r="K34" t="s">
        <v>977</v>
      </c>
      <c r="L34" t="s">
        <v>978</v>
      </c>
      <c r="M34" t="s">
        <v>589</v>
      </c>
      <c r="N34" t="s">
        <v>796</v>
      </c>
    </row>
    <row r="35" spans="1:14" ht="19.95" customHeight="1">
      <c r="A35" t="s">
        <v>979</v>
      </c>
      <c r="B35" t="s">
        <v>890</v>
      </c>
      <c r="C35" t="s">
        <v>788</v>
      </c>
      <c r="D35" t="s">
        <v>804</v>
      </c>
      <c r="E35" t="s">
        <v>980</v>
      </c>
      <c r="F35" t="s">
        <v>981</v>
      </c>
      <c r="G35" t="s">
        <v>449</v>
      </c>
      <c r="H35" t="s">
        <v>416</v>
      </c>
      <c r="I35" t="s">
        <v>807</v>
      </c>
      <c r="J35" t="s">
        <v>982</v>
      </c>
      <c r="K35" t="s">
        <v>983</v>
      </c>
      <c r="L35" t="s">
        <v>984</v>
      </c>
      <c r="M35" t="s">
        <v>543</v>
      </c>
      <c r="N35" t="s">
        <v>796</v>
      </c>
    </row>
    <row r="36" spans="1:14" ht="19.95" customHeight="1">
      <c r="A36" t="s">
        <v>985</v>
      </c>
      <c r="B36" t="s">
        <v>890</v>
      </c>
      <c r="C36" t="s">
        <v>813</v>
      </c>
      <c r="D36" t="s">
        <v>844</v>
      </c>
      <c r="E36" t="s">
        <v>986</v>
      </c>
      <c r="F36" t="s">
        <v>987</v>
      </c>
      <c r="G36" t="s">
        <v>449</v>
      </c>
      <c r="H36" t="s">
        <v>427</v>
      </c>
      <c r="I36" t="s">
        <v>792</v>
      </c>
      <c r="J36" t="s">
        <v>988</v>
      </c>
      <c r="K36" t="s">
        <v>989</v>
      </c>
      <c r="L36" t="s">
        <v>990</v>
      </c>
      <c r="M36" t="s">
        <v>543</v>
      </c>
      <c r="N36" t="s">
        <v>796</v>
      </c>
    </row>
    <row r="37" spans="1:14" ht="19.95" customHeight="1">
      <c r="A37" t="s">
        <v>991</v>
      </c>
      <c r="B37" t="s">
        <v>890</v>
      </c>
      <c r="C37" t="s">
        <v>788</v>
      </c>
      <c r="D37" t="s">
        <v>804</v>
      </c>
      <c r="E37" t="s">
        <v>992</v>
      </c>
      <c r="F37" t="s">
        <v>987</v>
      </c>
      <c r="G37" t="s">
        <v>439</v>
      </c>
      <c r="H37" t="s">
        <v>454</v>
      </c>
      <c r="I37" t="s">
        <v>807</v>
      </c>
      <c r="J37" t="s">
        <v>993</v>
      </c>
      <c r="K37" t="s">
        <v>994</v>
      </c>
      <c r="L37" t="s">
        <v>995</v>
      </c>
      <c r="M37" t="s">
        <v>543</v>
      </c>
      <c r="N37" t="s">
        <v>796</v>
      </c>
    </row>
    <row r="38" spans="1:14" ht="19.95" customHeight="1">
      <c r="A38" t="s">
        <v>996</v>
      </c>
      <c r="B38" t="s">
        <v>890</v>
      </c>
      <c r="C38" t="s">
        <v>813</v>
      </c>
      <c r="D38" t="s">
        <v>798</v>
      </c>
      <c r="E38" t="s">
        <v>997</v>
      </c>
      <c r="F38" t="s">
        <v>528</v>
      </c>
      <c r="G38" t="s">
        <v>439</v>
      </c>
      <c r="H38" t="s">
        <v>454</v>
      </c>
      <c r="I38" t="s">
        <v>792</v>
      </c>
      <c r="J38" t="s">
        <v>970</v>
      </c>
      <c r="K38" t="s">
        <v>998</v>
      </c>
      <c r="L38" t="s">
        <v>999</v>
      </c>
      <c r="M38" t="s">
        <v>543</v>
      </c>
      <c r="N38" t="s">
        <v>796</v>
      </c>
    </row>
    <row r="39" spans="1:14" ht="19.95" customHeight="1">
      <c r="A39" t="s">
        <v>1000</v>
      </c>
      <c r="B39" t="s">
        <v>890</v>
      </c>
      <c r="C39" t="s">
        <v>864</v>
      </c>
      <c r="D39" t="s">
        <v>789</v>
      </c>
      <c r="E39" t="s">
        <v>1001</v>
      </c>
      <c r="F39" t="s">
        <v>1002</v>
      </c>
      <c r="G39" t="s">
        <v>439</v>
      </c>
      <c r="H39" t="s">
        <v>454</v>
      </c>
      <c r="I39" t="s">
        <v>910</v>
      </c>
      <c r="J39" t="s">
        <v>1003</v>
      </c>
      <c r="K39" t="s">
        <v>1004</v>
      </c>
      <c r="L39" t="s">
        <v>1005</v>
      </c>
      <c r="M39" t="s">
        <v>589</v>
      </c>
      <c r="N39" t="s">
        <v>796</v>
      </c>
    </row>
    <row r="40" spans="1:14" ht="19.95" customHeight="1">
      <c r="A40" t="s">
        <v>1006</v>
      </c>
      <c r="B40" t="s">
        <v>787</v>
      </c>
      <c r="C40" t="s">
        <v>864</v>
      </c>
      <c r="D40" t="s">
        <v>804</v>
      </c>
      <c r="E40" t="s">
        <v>1007</v>
      </c>
      <c r="F40" t="s">
        <v>1008</v>
      </c>
      <c r="G40" t="s">
        <v>439</v>
      </c>
      <c r="H40" t="s">
        <v>501</v>
      </c>
      <c r="I40" t="s">
        <v>807</v>
      </c>
      <c r="J40" t="s">
        <v>1009</v>
      </c>
      <c r="K40" t="s">
        <v>1010</v>
      </c>
      <c r="L40" t="s">
        <v>1011</v>
      </c>
      <c r="M40" t="s">
        <v>811</v>
      </c>
      <c r="N40" t="s">
        <v>796</v>
      </c>
    </row>
    <row r="41" spans="1:14" ht="19.95" customHeight="1">
      <c r="A41" t="s">
        <v>1012</v>
      </c>
      <c r="B41" t="s">
        <v>787</v>
      </c>
      <c r="C41" t="s">
        <v>788</v>
      </c>
      <c r="D41" t="s">
        <v>789</v>
      </c>
      <c r="E41" t="s">
        <v>1013</v>
      </c>
      <c r="F41" t="s">
        <v>1014</v>
      </c>
      <c r="G41" t="s">
        <v>1015</v>
      </c>
      <c r="I41" t="s">
        <v>792</v>
      </c>
      <c r="J41" t="s">
        <v>1016</v>
      </c>
      <c r="K41" t="s">
        <v>1017</v>
      </c>
      <c r="L41" t="s">
        <v>1018</v>
      </c>
      <c r="M41" t="s">
        <v>589</v>
      </c>
      <c r="N41" t="s">
        <v>796</v>
      </c>
    </row>
    <row r="42" spans="1:14" ht="19.95" customHeight="1">
      <c r="A42" t="s">
        <v>1019</v>
      </c>
      <c r="B42" t="s">
        <v>787</v>
      </c>
      <c r="C42" t="s">
        <v>813</v>
      </c>
      <c r="D42" t="s">
        <v>1020</v>
      </c>
      <c r="E42" t="s">
        <v>1021</v>
      </c>
      <c r="F42" t="s">
        <v>1022</v>
      </c>
      <c r="G42" t="s">
        <v>847</v>
      </c>
      <c r="I42" t="s">
        <v>807</v>
      </c>
      <c r="J42" t="s">
        <v>1023</v>
      </c>
      <c r="K42" t="s">
        <v>1024</v>
      </c>
      <c r="L42" t="s">
        <v>1025</v>
      </c>
      <c r="M42" t="s">
        <v>589</v>
      </c>
      <c r="N42" t="s">
        <v>796</v>
      </c>
    </row>
    <row r="43" spans="1:14" ht="19.95" customHeight="1">
      <c r="A43" t="s">
        <v>1026</v>
      </c>
      <c r="B43" t="s">
        <v>890</v>
      </c>
      <c r="C43" t="s">
        <v>864</v>
      </c>
      <c r="D43" t="s">
        <v>1020</v>
      </c>
      <c r="E43" t="s">
        <v>1027</v>
      </c>
      <c r="F43" t="s">
        <v>1028</v>
      </c>
      <c r="G43" t="s">
        <v>885</v>
      </c>
      <c r="I43" t="s">
        <v>1029</v>
      </c>
      <c r="J43" t="s">
        <v>1030</v>
      </c>
      <c r="K43" t="s">
        <v>1031</v>
      </c>
      <c r="L43" t="s">
        <v>1032</v>
      </c>
      <c r="M43" t="s">
        <v>811</v>
      </c>
      <c r="N43" t="s">
        <v>796</v>
      </c>
    </row>
    <row r="44" spans="1:14" ht="19.95" customHeight="1">
      <c r="A44" t="s">
        <v>1033</v>
      </c>
      <c r="B44" t="s">
        <v>787</v>
      </c>
      <c r="C44" t="s">
        <v>837</v>
      </c>
      <c r="D44" t="s">
        <v>804</v>
      </c>
      <c r="E44" t="s">
        <v>1034</v>
      </c>
      <c r="F44" t="s">
        <v>1035</v>
      </c>
      <c r="G44" t="s">
        <v>505</v>
      </c>
      <c r="H44" t="s">
        <v>501</v>
      </c>
      <c r="I44" t="s">
        <v>792</v>
      </c>
      <c r="J44" t="s">
        <v>1036</v>
      </c>
      <c r="K44" t="s">
        <v>1037</v>
      </c>
      <c r="L44" t="s">
        <v>1038</v>
      </c>
      <c r="M44" t="s">
        <v>811</v>
      </c>
      <c r="N44" t="s">
        <v>796</v>
      </c>
    </row>
  </sheetData>
  <mergeCells count="2">
    <mergeCell ref="A1:M1"/>
    <mergeCell ref="A2:M2"/>
  </mergeCells>
  <phoneticPr fontId="8" type="noConversion"/>
  <conditionalFormatting sqref="M5:M44">
    <cfRule type="containsText" dxfId="4" priority="1" operator="containsText" text="高">
      <formula>NOT(ISERROR(SEARCH("高",M5)))</formula>
    </cfRule>
  </conditionalFormatting>
  <dataValidations count="5">
    <dataValidation type="list" allowBlank="1" showInputMessage="1" showErrorMessage="1" sqref="D5:D44" xr:uid="{00000000-0002-0000-0B00-000000000000}">
      <formula1>CONTENT_TYPE</formula1>
    </dataValidation>
    <dataValidation type="list" allowBlank="1" showInputMessage="1" showErrorMessage="1" sqref="H5:H44" xr:uid="{00000000-0002-0000-0B00-000001000000}">
      <formula1>SKU_LIST</formula1>
    </dataValidation>
    <dataValidation type="list" allowBlank="1" showInputMessage="1" showErrorMessage="1" sqref="M5:M44" xr:uid="{00000000-0002-0000-0B00-000002000000}">
      <formula1>RISK_LEVEL</formula1>
    </dataValidation>
    <dataValidation type="list" allowBlank="1" showInputMessage="1" showErrorMessage="1" sqref="N5:N44" xr:uid="{00000000-0002-0000-0B00-000003000000}">
      <formula1>CONTENT_STATUS</formula1>
    </dataValidation>
    <dataValidation type="list" allowBlank="1" showInputMessage="1" showErrorMessage="1" sqref="S5:S44" xr:uid="{00000000-0002-0000-0B00-000004000000}">
      <formula1>OWNER_LIST</formula1>
    </dataValidation>
  </dataValidations>
  <pageMargins left="0.25" right="0.25" top="0.4" bottom="0.4" header="0.3" footer="0.3"/>
  <pageSetup fitToHeight="0" orientation="landscape"/>
  <headerFooter>
    <oddHeader>&amp;L希望之光 Hope Light&amp;C品牌營運管理系統&amp;R&amp;D</oddHeader>
    <oddFooter>&amp;L[Codex] 初版｜待確認資料不可直接對外&amp;R第 &amp;P / &amp;N 頁</oddFooter>
  </headerFooter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243B5A"/>
    <pageSetUpPr fitToPage="1"/>
  </sheetPr>
  <dimension ref="A1:U204"/>
  <sheetViews>
    <sheetView showGridLines="0" workbookViewId="0">
      <pane ySplit="4" topLeftCell="A5" activePane="bottomLeft" state="frozen"/>
      <selection pane="bottomLeft"/>
    </sheetView>
  </sheetViews>
  <sheetFormatPr defaultRowHeight="19.95" customHeight="1"/>
  <cols>
    <col min="1" max="1" width="14.75" customWidth="1"/>
    <col min="2" max="2" width="13.75" style="8" customWidth="1"/>
    <col min="3" max="3" width="14.75" customWidth="1"/>
    <col min="4" max="5" width="11.75" customWidth="1"/>
    <col min="6" max="6" width="13.75" customWidth="1"/>
    <col min="7" max="7" width="11.75" customWidth="1"/>
    <col min="8" max="11" width="10.75" customWidth="1"/>
    <col min="12" max="12" width="11.75" customWidth="1"/>
    <col min="13" max="14" width="10.75" customWidth="1"/>
    <col min="15" max="16" width="14.75" style="6" customWidth="1"/>
    <col min="17" max="17" width="12.75" style="4" customWidth="1"/>
    <col min="18" max="18" width="13.75" style="4" customWidth="1"/>
    <col min="19" max="20" width="14.75" style="4" customWidth="1"/>
    <col min="21" max="21" width="40.75" customWidth="1"/>
  </cols>
  <sheetData>
    <row r="1" spans="1:21" ht="34.049999999999997" customHeight="1">
      <c r="A1" s="9" t="s">
        <v>1039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2" spans="1:21" ht="31.05" customHeight="1">
      <c r="A2" s="10" t="s">
        <v>1040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4" spans="1:21" ht="19.95" customHeight="1">
      <c r="A4" t="s">
        <v>772</v>
      </c>
      <c r="B4" s="8" t="s">
        <v>1041</v>
      </c>
      <c r="C4" t="s">
        <v>1042</v>
      </c>
      <c r="D4" t="s">
        <v>1043</v>
      </c>
      <c r="E4" t="s">
        <v>1044</v>
      </c>
      <c r="F4" t="s">
        <v>1045</v>
      </c>
      <c r="G4" t="s">
        <v>1046</v>
      </c>
      <c r="H4" t="s">
        <v>1047</v>
      </c>
      <c r="I4" t="s">
        <v>1048</v>
      </c>
      <c r="J4" t="s">
        <v>1049</v>
      </c>
      <c r="K4" t="s">
        <v>1050</v>
      </c>
      <c r="L4" t="s">
        <v>1051</v>
      </c>
      <c r="M4" t="s">
        <v>1052</v>
      </c>
      <c r="N4" t="s">
        <v>1053</v>
      </c>
      <c r="O4" s="6" t="s">
        <v>1054</v>
      </c>
      <c r="P4" s="6" t="s">
        <v>1055</v>
      </c>
      <c r="Q4" s="4" t="s">
        <v>1056</v>
      </c>
      <c r="R4" s="4" t="s">
        <v>1057</v>
      </c>
      <c r="S4" s="4" t="s">
        <v>1058</v>
      </c>
      <c r="T4" s="4" t="s">
        <v>1059</v>
      </c>
      <c r="U4" t="s">
        <v>415</v>
      </c>
    </row>
    <row r="5" spans="1:21" ht="19.95" customHeight="1">
      <c r="Q5" s="4" t="str">
        <f>IFERROR((tblContentMetrics[[#This Row],[收藏]]+tblContentMetrics[[#This Row],[分享]]+tblContentMetrics[[#This Row],[留言]]+tblContentMetrics[[#This Row],[私訊]]) / tblContentMetrics[[#This Row],[觀看]],"")</f>
        <v/>
      </c>
      <c r="R5" s="4" t="str">
        <f>IFERROR(tblContentMetrics[[#This Row],[LINE新增]]/tblContentMetrics[[#This Row],[觀看]],"")</f>
        <v/>
      </c>
      <c r="S5" s="4" t="str">
        <f>IFERROR(tblContentMetrics[[#This Row],[預約]]/tblContentMetrics[[#This Row],[LINE新增]],"")</f>
        <v/>
      </c>
      <c r="T5" s="4" t="str">
        <f>IFERROR(tblContentMetrics[[#This Row],[訂單]]/tblContentMetrics[[#This Row],[LINE新增]],"")</f>
        <v/>
      </c>
    </row>
    <row r="6" spans="1:21" ht="19.95" customHeight="1">
      <c r="Q6" s="4" t="str">
        <f>IFERROR((tblContentMetrics[[#This Row],[收藏]]+tblContentMetrics[[#This Row],[分享]]+tblContentMetrics[[#This Row],[留言]]+tblContentMetrics[[#This Row],[私訊]]) / tblContentMetrics[[#This Row],[觀看]],"")</f>
        <v/>
      </c>
      <c r="R6" s="4" t="str">
        <f>IFERROR(tblContentMetrics[[#This Row],[LINE新增]]/tblContentMetrics[[#This Row],[觀看]],"")</f>
        <v/>
      </c>
      <c r="S6" s="4" t="str">
        <f>IFERROR(tblContentMetrics[[#This Row],[預約]]/tblContentMetrics[[#This Row],[LINE新增]],"")</f>
        <v/>
      </c>
      <c r="T6" s="4" t="str">
        <f>IFERROR(tblContentMetrics[[#This Row],[訂單]]/tblContentMetrics[[#This Row],[LINE新增]],"")</f>
        <v/>
      </c>
    </row>
    <row r="7" spans="1:21" ht="19.95" customHeight="1">
      <c r="Q7" s="4" t="str">
        <f>IFERROR((tblContentMetrics[[#This Row],[收藏]]+tblContentMetrics[[#This Row],[分享]]+tblContentMetrics[[#This Row],[留言]]+tblContentMetrics[[#This Row],[私訊]]) / tblContentMetrics[[#This Row],[觀看]],"")</f>
        <v/>
      </c>
      <c r="R7" s="4" t="str">
        <f>IFERROR(tblContentMetrics[[#This Row],[LINE新增]]/tblContentMetrics[[#This Row],[觀看]],"")</f>
        <v/>
      </c>
      <c r="S7" s="4" t="str">
        <f>IFERROR(tblContentMetrics[[#This Row],[預約]]/tblContentMetrics[[#This Row],[LINE新增]],"")</f>
        <v/>
      </c>
      <c r="T7" s="4" t="str">
        <f>IFERROR(tblContentMetrics[[#This Row],[訂單]]/tblContentMetrics[[#This Row],[LINE新增]],"")</f>
        <v/>
      </c>
    </row>
    <row r="8" spans="1:21" ht="19.95" customHeight="1">
      <c r="Q8" s="4" t="str">
        <f>IFERROR((tblContentMetrics[[#This Row],[收藏]]+tblContentMetrics[[#This Row],[分享]]+tblContentMetrics[[#This Row],[留言]]+tblContentMetrics[[#This Row],[私訊]]) / tblContentMetrics[[#This Row],[觀看]],"")</f>
        <v/>
      </c>
      <c r="R8" s="4" t="str">
        <f>IFERROR(tblContentMetrics[[#This Row],[LINE新增]]/tblContentMetrics[[#This Row],[觀看]],"")</f>
        <v/>
      </c>
      <c r="S8" s="4" t="str">
        <f>IFERROR(tblContentMetrics[[#This Row],[預約]]/tblContentMetrics[[#This Row],[LINE新增]],"")</f>
        <v/>
      </c>
      <c r="T8" s="4" t="str">
        <f>IFERROR(tblContentMetrics[[#This Row],[訂單]]/tblContentMetrics[[#This Row],[LINE新增]],"")</f>
        <v/>
      </c>
    </row>
    <row r="9" spans="1:21" ht="19.95" customHeight="1">
      <c r="Q9" s="4" t="str">
        <f>IFERROR((tblContentMetrics[[#This Row],[收藏]]+tblContentMetrics[[#This Row],[分享]]+tblContentMetrics[[#This Row],[留言]]+tblContentMetrics[[#This Row],[私訊]]) / tblContentMetrics[[#This Row],[觀看]],"")</f>
        <v/>
      </c>
      <c r="R9" s="4" t="str">
        <f>IFERROR(tblContentMetrics[[#This Row],[LINE新增]]/tblContentMetrics[[#This Row],[觀看]],"")</f>
        <v/>
      </c>
      <c r="S9" s="4" t="str">
        <f>IFERROR(tblContentMetrics[[#This Row],[預約]]/tblContentMetrics[[#This Row],[LINE新增]],"")</f>
        <v/>
      </c>
      <c r="T9" s="4" t="str">
        <f>IFERROR(tblContentMetrics[[#This Row],[訂單]]/tblContentMetrics[[#This Row],[LINE新增]],"")</f>
        <v/>
      </c>
    </row>
    <row r="10" spans="1:21" ht="19.95" customHeight="1">
      <c r="Q10" s="4" t="str">
        <f>IFERROR((tblContentMetrics[[#This Row],[收藏]]+tblContentMetrics[[#This Row],[分享]]+tblContentMetrics[[#This Row],[留言]]+tblContentMetrics[[#This Row],[私訊]]) / tblContentMetrics[[#This Row],[觀看]],"")</f>
        <v/>
      </c>
      <c r="R10" s="4" t="str">
        <f>IFERROR(tblContentMetrics[[#This Row],[LINE新增]]/tblContentMetrics[[#This Row],[觀看]],"")</f>
        <v/>
      </c>
      <c r="S10" s="4" t="str">
        <f>IFERROR(tblContentMetrics[[#This Row],[預約]]/tblContentMetrics[[#This Row],[LINE新增]],"")</f>
        <v/>
      </c>
      <c r="T10" s="4" t="str">
        <f>IFERROR(tblContentMetrics[[#This Row],[訂單]]/tblContentMetrics[[#This Row],[LINE新增]],"")</f>
        <v/>
      </c>
    </row>
    <row r="11" spans="1:21" ht="19.95" customHeight="1">
      <c r="Q11" s="4" t="str">
        <f>IFERROR((tblContentMetrics[[#This Row],[收藏]]+tblContentMetrics[[#This Row],[分享]]+tblContentMetrics[[#This Row],[留言]]+tblContentMetrics[[#This Row],[私訊]]) / tblContentMetrics[[#This Row],[觀看]],"")</f>
        <v/>
      </c>
      <c r="R11" s="4" t="str">
        <f>IFERROR(tblContentMetrics[[#This Row],[LINE新增]]/tblContentMetrics[[#This Row],[觀看]],"")</f>
        <v/>
      </c>
      <c r="S11" s="4" t="str">
        <f>IFERROR(tblContentMetrics[[#This Row],[預約]]/tblContentMetrics[[#This Row],[LINE新增]],"")</f>
        <v/>
      </c>
      <c r="T11" s="4" t="str">
        <f>IFERROR(tblContentMetrics[[#This Row],[訂單]]/tblContentMetrics[[#This Row],[LINE新增]],"")</f>
        <v/>
      </c>
    </row>
    <row r="12" spans="1:21" ht="19.95" customHeight="1">
      <c r="Q12" s="4" t="str">
        <f>IFERROR((tblContentMetrics[[#This Row],[收藏]]+tblContentMetrics[[#This Row],[分享]]+tblContentMetrics[[#This Row],[留言]]+tblContentMetrics[[#This Row],[私訊]]) / tblContentMetrics[[#This Row],[觀看]],"")</f>
        <v/>
      </c>
      <c r="R12" s="4" t="str">
        <f>IFERROR(tblContentMetrics[[#This Row],[LINE新增]]/tblContentMetrics[[#This Row],[觀看]],"")</f>
        <v/>
      </c>
      <c r="S12" s="4" t="str">
        <f>IFERROR(tblContentMetrics[[#This Row],[預約]]/tblContentMetrics[[#This Row],[LINE新增]],"")</f>
        <v/>
      </c>
      <c r="T12" s="4" t="str">
        <f>IFERROR(tblContentMetrics[[#This Row],[訂單]]/tblContentMetrics[[#This Row],[LINE新增]],"")</f>
        <v/>
      </c>
    </row>
    <row r="13" spans="1:21" ht="19.95" customHeight="1">
      <c r="Q13" s="4" t="str">
        <f>IFERROR((tblContentMetrics[[#This Row],[收藏]]+tblContentMetrics[[#This Row],[分享]]+tblContentMetrics[[#This Row],[留言]]+tblContentMetrics[[#This Row],[私訊]]) / tblContentMetrics[[#This Row],[觀看]],"")</f>
        <v/>
      </c>
      <c r="R13" s="4" t="str">
        <f>IFERROR(tblContentMetrics[[#This Row],[LINE新增]]/tblContentMetrics[[#This Row],[觀看]],"")</f>
        <v/>
      </c>
      <c r="S13" s="4" t="str">
        <f>IFERROR(tblContentMetrics[[#This Row],[預約]]/tblContentMetrics[[#This Row],[LINE新增]],"")</f>
        <v/>
      </c>
      <c r="T13" s="4" t="str">
        <f>IFERROR(tblContentMetrics[[#This Row],[訂單]]/tblContentMetrics[[#This Row],[LINE新增]],"")</f>
        <v/>
      </c>
    </row>
    <row r="14" spans="1:21" ht="19.95" customHeight="1">
      <c r="Q14" s="4" t="str">
        <f>IFERROR((tblContentMetrics[[#This Row],[收藏]]+tblContentMetrics[[#This Row],[分享]]+tblContentMetrics[[#This Row],[留言]]+tblContentMetrics[[#This Row],[私訊]]) / tblContentMetrics[[#This Row],[觀看]],"")</f>
        <v/>
      </c>
      <c r="R14" s="4" t="str">
        <f>IFERROR(tblContentMetrics[[#This Row],[LINE新增]]/tblContentMetrics[[#This Row],[觀看]],"")</f>
        <v/>
      </c>
      <c r="S14" s="4" t="str">
        <f>IFERROR(tblContentMetrics[[#This Row],[預約]]/tblContentMetrics[[#This Row],[LINE新增]],"")</f>
        <v/>
      </c>
      <c r="T14" s="4" t="str">
        <f>IFERROR(tblContentMetrics[[#This Row],[訂單]]/tblContentMetrics[[#This Row],[LINE新增]],"")</f>
        <v/>
      </c>
    </row>
    <row r="15" spans="1:21" ht="19.95" customHeight="1">
      <c r="Q15" s="4" t="str">
        <f>IFERROR((tblContentMetrics[[#This Row],[收藏]]+tblContentMetrics[[#This Row],[分享]]+tblContentMetrics[[#This Row],[留言]]+tblContentMetrics[[#This Row],[私訊]]) / tblContentMetrics[[#This Row],[觀看]],"")</f>
        <v/>
      </c>
      <c r="R15" s="4" t="str">
        <f>IFERROR(tblContentMetrics[[#This Row],[LINE新增]]/tblContentMetrics[[#This Row],[觀看]],"")</f>
        <v/>
      </c>
      <c r="S15" s="4" t="str">
        <f>IFERROR(tblContentMetrics[[#This Row],[預約]]/tblContentMetrics[[#This Row],[LINE新增]],"")</f>
        <v/>
      </c>
      <c r="T15" s="4" t="str">
        <f>IFERROR(tblContentMetrics[[#This Row],[訂單]]/tblContentMetrics[[#This Row],[LINE新增]],"")</f>
        <v/>
      </c>
    </row>
    <row r="16" spans="1:21" ht="19.95" customHeight="1">
      <c r="Q16" s="4" t="str">
        <f>IFERROR((tblContentMetrics[[#This Row],[收藏]]+tblContentMetrics[[#This Row],[分享]]+tblContentMetrics[[#This Row],[留言]]+tblContentMetrics[[#This Row],[私訊]]) / tblContentMetrics[[#This Row],[觀看]],"")</f>
        <v/>
      </c>
      <c r="R16" s="4" t="str">
        <f>IFERROR(tblContentMetrics[[#This Row],[LINE新增]]/tblContentMetrics[[#This Row],[觀看]],"")</f>
        <v/>
      </c>
      <c r="S16" s="4" t="str">
        <f>IFERROR(tblContentMetrics[[#This Row],[預約]]/tblContentMetrics[[#This Row],[LINE新增]],"")</f>
        <v/>
      </c>
      <c r="T16" s="4" t="str">
        <f>IFERROR(tblContentMetrics[[#This Row],[訂單]]/tblContentMetrics[[#This Row],[LINE新增]],"")</f>
        <v/>
      </c>
    </row>
    <row r="17" spans="17:20" ht="19.95" customHeight="1">
      <c r="Q17" s="4" t="str">
        <f>IFERROR((tblContentMetrics[[#This Row],[收藏]]+tblContentMetrics[[#This Row],[分享]]+tblContentMetrics[[#This Row],[留言]]+tblContentMetrics[[#This Row],[私訊]]) / tblContentMetrics[[#This Row],[觀看]],"")</f>
        <v/>
      </c>
      <c r="R17" s="4" t="str">
        <f>IFERROR(tblContentMetrics[[#This Row],[LINE新增]]/tblContentMetrics[[#This Row],[觀看]],"")</f>
        <v/>
      </c>
      <c r="S17" s="4" t="str">
        <f>IFERROR(tblContentMetrics[[#This Row],[預約]]/tblContentMetrics[[#This Row],[LINE新增]],"")</f>
        <v/>
      </c>
      <c r="T17" s="4" t="str">
        <f>IFERROR(tblContentMetrics[[#This Row],[訂單]]/tblContentMetrics[[#This Row],[LINE新增]],"")</f>
        <v/>
      </c>
    </row>
    <row r="18" spans="17:20" ht="19.95" customHeight="1">
      <c r="Q18" s="4" t="str">
        <f>IFERROR((tblContentMetrics[[#This Row],[收藏]]+tblContentMetrics[[#This Row],[分享]]+tblContentMetrics[[#This Row],[留言]]+tblContentMetrics[[#This Row],[私訊]]) / tblContentMetrics[[#This Row],[觀看]],"")</f>
        <v/>
      </c>
      <c r="R18" s="4" t="str">
        <f>IFERROR(tblContentMetrics[[#This Row],[LINE新增]]/tblContentMetrics[[#This Row],[觀看]],"")</f>
        <v/>
      </c>
      <c r="S18" s="4" t="str">
        <f>IFERROR(tblContentMetrics[[#This Row],[預約]]/tblContentMetrics[[#This Row],[LINE新增]],"")</f>
        <v/>
      </c>
      <c r="T18" s="4" t="str">
        <f>IFERROR(tblContentMetrics[[#This Row],[訂單]]/tblContentMetrics[[#This Row],[LINE新增]],"")</f>
        <v/>
      </c>
    </row>
    <row r="19" spans="17:20" ht="19.95" customHeight="1">
      <c r="Q19" s="4" t="str">
        <f>IFERROR((tblContentMetrics[[#This Row],[收藏]]+tblContentMetrics[[#This Row],[分享]]+tblContentMetrics[[#This Row],[留言]]+tblContentMetrics[[#This Row],[私訊]]) / tblContentMetrics[[#This Row],[觀看]],"")</f>
        <v/>
      </c>
      <c r="R19" s="4" t="str">
        <f>IFERROR(tblContentMetrics[[#This Row],[LINE新增]]/tblContentMetrics[[#This Row],[觀看]],"")</f>
        <v/>
      </c>
      <c r="S19" s="4" t="str">
        <f>IFERROR(tblContentMetrics[[#This Row],[預約]]/tblContentMetrics[[#This Row],[LINE新增]],"")</f>
        <v/>
      </c>
      <c r="T19" s="4" t="str">
        <f>IFERROR(tblContentMetrics[[#This Row],[訂單]]/tblContentMetrics[[#This Row],[LINE新增]],"")</f>
        <v/>
      </c>
    </row>
    <row r="20" spans="17:20" ht="19.95" customHeight="1">
      <c r="Q20" s="4" t="str">
        <f>IFERROR((tblContentMetrics[[#This Row],[收藏]]+tblContentMetrics[[#This Row],[分享]]+tblContentMetrics[[#This Row],[留言]]+tblContentMetrics[[#This Row],[私訊]]) / tblContentMetrics[[#This Row],[觀看]],"")</f>
        <v/>
      </c>
      <c r="R20" s="4" t="str">
        <f>IFERROR(tblContentMetrics[[#This Row],[LINE新增]]/tblContentMetrics[[#This Row],[觀看]],"")</f>
        <v/>
      </c>
      <c r="S20" s="4" t="str">
        <f>IFERROR(tblContentMetrics[[#This Row],[預約]]/tblContentMetrics[[#This Row],[LINE新增]],"")</f>
        <v/>
      </c>
      <c r="T20" s="4" t="str">
        <f>IFERROR(tblContentMetrics[[#This Row],[訂單]]/tblContentMetrics[[#This Row],[LINE新增]],"")</f>
        <v/>
      </c>
    </row>
    <row r="21" spans="17:20" ht="19.95" customHeight="1">
      <c r="Q21" s="4" t="str">
        <f>IFERROR((tblContentMetrics[[#This Row],[收藏]]+tblContentMetrics[[#This Row],[分享]]+tblContentMetrics[[#This Row],[留言]]+tblContentMetrics[[#This Row],[私訊]]) / tblContentMetrics[[#This Row],[觀看]],"")</f>
        <v/>
      </c>
      <c r="R21" s="4" t="str">
        <f>IFERROR(tblContentMetrics[[#This Row],[LINE新增]]/tblContentMetrics[[#This Row],[觀看]],"")</f>
        <v/>
      </c>
      <c r="S21" s="4" t="str">
        <f>IFERROR(tblContentMetrics[[#This Row],[預約]]/tblContentMetrics[[#This Row],[LINE新增]],"")</f>
        <v/>
      </c>
      <c r="T21" s="4" t="str">
        <f>IFERROR(tblContentMetrics[[#This Row],[訂單]]/tblContentMetrics[[#This Row],[LINE新增]],"")</f>
        <v/>
      </c>
    </row>
    <row r="22" spans="17:20" ht="19.95" customHeight="1">
      <c r="Q22" s="4" t="str">
        <f>IFERROR((tblContentMetrics[[#This Row],[收藏]]+tblContentMetrics[[#This Row],[分享]]+tblContentMetrics[[#This Row],[留言]]+tblContentMetrics[[#This Row],[私訊]]) / tblContentMetrics[[#This Row],[觀看]],"")</f>
        <v/>
      </c>
      <c r="R22" s="4" t="str">
        <f>IFERROR(tblContentMetrics[[#This Row],[LINE新增]]/tblContentMetrics[[#This Row],[觀看]],"")</f>
        <v/>
      </c>
      <c r="S22" s="4" t="str">
        <f>IFERROR(tblContentMetrics[[#This Row],[預約]]/tblContentMetrics[[#This Row],[LINE新增]],"")</f>
        <v/>
      </c>
      <c r="T22" s="4" t="str">
        <f>IFERROR(tblContentMetrics[[#This Row],[訂單]]/tblContentMetrics[[#This Row],[LINE新增]],"")</f>
        <v/>
      </c>
    </row>
    <row r="23" spans="17:20" ht="19.95" customHeight="1">
      <c r="Q23" s="4" t="str">
        <f>IFERROR((tblContentMetrics[[#This Row],[收藏]]+tblContentMetrics[[#This Row],[分享]]+tblContentMetrics[[#This Row],[留言]]+tblContentMetrics[[#This Row],[私訊]]) / tblContentMetrics[[#This Row],[觀看]],"")</f>
        <v/>
      </c>
      <c r="R23" s="4" t="str">
        <f>IFERROR(tblContentMetrics[[#This Row],[LINE新增]]/tblContentMetrics[[#This Row],[觀看]],"")</f>
        <v/>
      </c>
      <c r="S23" s="4" t="str">
        <f>IFERROR(tblContentMetrics[[#This Row],[預約]]/tblContentMetrics[[#This Row],[LINE新增]],"")</f>
        <v/>
      </c>
      <c r="T23" s="4" t="str">
        <f>IFERROR(tblContentMetrics[[#This Row],[訂單]]/tblContentMetrics[[#This Row],[LINE新增]],"")</f>
        <v/>
      </c>
    </row>
    <row r="24" spans="17:20" ht="19.95" customHeight="1">
      <c r="Q24" s="4" t="str">
        <f>IFERROR((tblContentMetrics[[#This Row],[收藏]]+tblContentMetrics[[#This Row],[分享]]+tblContentMetrics[[#This Row],[留言]]+tblContentMetrics[[#This Row],[私訊]]) / tblContentMetrics[[#This Row],[觀看]],"")</f>
        <v/>
      </c>
      <c r="R24" s="4" t="str">
        <f>IFERROR(tblContentMetrics[[#This Row],[LINE新增]]/tblContentMetrics[[#This Row],[觀看]],"")</f>
        <v/>
      </c>
      <c r="S24" s="4" t="str">
        <f>IFERROR(tblContentMetrics[[#This Row],[預約]]/tblContentMetrics[[#This Row],[LINE新增]],"")</f>
        <v/>
      </c>
      <c r="T24" s="4" t="str">
        <f>IFERROR(tblContentMetrics[[#This Row],[訂單]]/tblContentMetrics[[#This Row],[LINE新增]],"")</f>
        <v/>
      </c>
    </row>
    <row r="25" spans="17:20" ht="19.95" customHeight="1">
      <c r="Q25" s="4" t="str">
        <f>IFERROR((tblContentMetrics[[#This Row],[收藏]]+tblContentMetrics[[#This Row],[分享]]+tblContentMetrics[[#This Row],[留言]]+tblContentMetrics[[#This Row],[私訊]]) / tblContentMetrics[[#This Row],[觀看]],"")</f>
        <v/>
      </c>
      <c r="R25" s="4" t="str">
        <f>IFERROR(tblContentMetrics[[#This Row],[LINE新增]]/tblContentMetrics[[#This Row],[觀看]],"")</f>
        <v/>
      </c>
      <c r="S25" s="4" t="str">
        <f>IFERROR(tblContentMetrics[[#This Row],[預約]]/tblContentMetrics[[#This Row],[LINE新增]],"")</f>
        <v/>
      </c>
      <c r="T25" s="4" t="str">
        <f>IFERROR(tblContentMetrics[[#This Row],[訂單]]/tblContentMetrics[[#This Row],[LINE新增]],"")</f>
        <v/>
      </c>
    </row>
    <row r="26" spans="17:20" ht="19.95" customHeight="1">
      <c r="Q26" s="4" t="str">
        <f>IFERROR((tblContentMetrics[[#This Row],[收藏]]+tblContentMetrics[[#This Row],[分享]]+tblContentMetrics[[#This Row],[留言]]+tblContentMetrics[[#This Row],[私訊]]) / tblContentMetrics[[#This Row],[觀看]],"")</f>
        <v/>
      </c>
      <c r="R26" s="4" t="str">
        <f>IFERROR(tblContentMetrics[[#This Row],[LINE新增]]/tblContentMetrics[[#This Row],[觀看]],"")</f>
        <v/>
      </c>
      <c r="S26" s="4" t="str">
        <f>IFERROR(tblContentMetrics[[#This Row],[預約]]/tblContentMetrics[[#This Row],[LINE新增]],"")</f>
        <v/>
      </c>
      <c r="T26" s="4" t="str">
        <f>IFERROR(tblContentMetrics[[#This Row],[訂單]]/tblContentMetrics[[#This Row],[LINE新增]],"")</f>
        <v/>
      </c>
    </row>
    <row r="27" spans="17:20" ht="19.95" customHeight="1">
      <c r="Q27" s="4" t="str">
        <f>IFERROR((tblContentMetrics[[#This Row],[收藏]]+tblContentMetrics[[#This Row],[分享]]+tblContentMetrics[[#This Row],[留言]]+tblContentMetrics[[#This Row],[私訊]]) / tblContentMetrics[[#This Row],[觀看]],"")</f>
        <v/>
      </c>
      <c r="R27" s="4" t="str">
        <f>IFERROR(tblContentMetrics[[#This Row],[LINE新增]]/tblContentMetrics[[#This Row],[觀看]],"")</f>
        <v/>
      </c>
      <c r="S27" s="4" t="str">
        <f>IFERROR(tblContentMetrics[[#This Row],[預約]]/tblContentMetrics[[#This Row],[LINE新增]],"")</f>
        <v/>
      </c>
      <c r="T27" s="4" t="str">
        <f>IFERROR(tblContentMetrics[[#This Row],[訂單]]/tblContentMetrics[[#This Row],[LINE新增]],"")</f>
        <v/>
      </c>
    </row>
    <row r="28" spans="17:20" ht="19.95" customHeight="1">
      <c r="Q28" s="4" t="str">
        <f>IFERROR((tblContentMetrics[[#This Row],[收藏]]+tblContentMetrics[[#This Row],[分享]]+tblContentMetrics[[#This Row],[留言]]+tblContentMetrics[[#This Row],[私訊]]) / tblContentMetrics[[#This Row],[觀看]],"")</f>
        <v/>
      </c>
      <c r="R28" s="4" t="str">
        <f>IFERROR(tblContentMetrics[[#This Row],[LINE新增]]/tblContentMetrics[[#This Row],[觀看]],"")</f>
        <v/>
      </c>
      <c r="S28" s="4" t="str">
        <f>IFERROR(tblContentMetrics[[#This Row],[預約]]/tblContentMetrics[[#This Row],[LINE新增]],"")</f>
        <v/>
      </c>
      <c r="T28" s="4" t="str">
        <f>IFERROR(tblContentMetrics[[#This Row],[訂單]]/tblContentMetrics[[#This Row],[LINE新增]],"")</f>
        <v/>
      </c>
    </row>
    <row r="29" spans="17:20" ht="19.95" customHeight="1">
      <c r="Q29" s="4" t="str">
        <f>IFERROR((tblContentMetrics[[#This Row],[收藏]]+tblContentMetrics[[#This Row],[分享]]+tblContentMetrics[[#This Row],[留言]]+tblContentMetrics[[#This Row],[私訊]]) / tblContentMetrics[[#This Row],[觀看]],"")</f>
        <v/>
      </c>
      <c r="R29" s="4" t="str">
        <f>IFERROR(tblContentMetrics[[#This Row],[LINE新增]]/tblContentMetrics[[#This Row],[觀看]],"")</f>
        <v/>
      </c>
      <c r="S29" s="4" t="str">
        <f>IFERROR(tblContentMetrics[[#This Row],[預約]]/tblContentMetrics[[#This Row],[LINE新增]],"")</f>
        <v/>
      </c>
      <c r="T29" s="4" t="str">
        <f>IFERROR(tblContentMetrics[[#This Row],[訂單]]/tblContentMetrics[[#This Row],[LINE新增]],"")</f>
        <v/>
      </c>
    </row>
    <row r="30" spans="17:20" ht="19.95" customHeight="1">
      <c r="Q30" s="4" t="str">
        <f>IFERROR((tblContentMetrics[[#This Row],[收藏]]+tblContentMetrics[[#This Row],[分享]]+tblContentMetrics[[#This Row],[留言]]+tblContentMetrics[[#This Row],[私訊]]) / tblContentMetrics[[#This Row],[觀看]],"")</f>
        <v/>
      </c>
      <c r="R30" s="4" t="str">
        <f>IFERROR(tblContentMetrics[[#This Row],[LINE新增]]/tblContentMetrics[[#This Row],[觀看]],"")</f>
        <v/>
      </c>
      <c r="S30" s="4" t="str">
        <f>IFERROR(tblContentMetrics[[#This Row],[預約]]/tblContentMetrics[[#This Row],[LINE新增]],"")</f>
        <v/>
      </c>
      <c r="T30" s="4" t="str">
        <f>IFERROR(tblContentMetrics[[#This Row],[訂單]]/tblContentMetrics[[#This Row],[LINE新增]],"")</f>
        <v/>
      </c>
    </row>
    <row r="31" spans="17:20" ht="19.95" customHeight="1">
      <c r="Q31" s="4" t="str">
        <f>IFERROR((tblContentMetrics[[#This Row],[收藏]]+tblContentMetrics[[#This Row],[分享]]+tblContentMetrics[[#This Row],[留言]]+tblContentMetrics[[#This Row],[私訊]]) / tblContentMetrics[[#This Row],[觀看]],"")</f>
        <v/>
      </c>
      <c r="R31" s="4" t="str">
        <f>IFERROR(tblContentMetrics[[#This Row],[LINE新增]]/tblContentMetrics[[#This Row],[觀看]],"")</f>
        <v/>
      </c>
      <c r="S31" s="4" t="str">
        <f>IFERROR(tblContentMetrics[[#This Row],[預約]]/tblContentMetrics[[#This Row],[LINE新增]],"")</f>
        <v/>
      </c>
      <c r="T31" s="4" t="str">
        <f>IFERROR(tblContentMetrics[[#This Row],[訂單]]/tblContentMetrics[[#This Row],[LINE新增]],"")</f>
        <v/>
      </c>
    </row>
    <row r="32" spans="17:20" ht="19.95" customHeight="1">
      <c r="Q32" s="4" t="str">
        <f>IFERROR((tblContentMetrics[[#This Row],[收藏]]+tblContentMetrics[[#This Row],[分享]]+tblContentMetrics[[#This Row],[留言]]+tblContentMetrics[[#This Row],[私訊]]) / tblContentMetrics[[#This Row],[觀看]],"")</f>
        <v/>
      </c>
      <c r="R32" s="4" t="str">
        <f>IFERROR(tblContentMetrics[[#This Row],[LINE新增]]/tblContentMetrics[[#This Row],[觀看]],"")</f>
        <v/>
      </c>
      <c r="S32" s="4" t="str">
        <f>IFERROR(tblContentMetrics[[#This Row],[預約]]/tblContentMetrics[[#This Row],[LINE新增]],"")</f>
        <v/>
      </c>
      <c r="T32" s="4" t="str">
        <f>IFERROR(tblContentMetrics[[#This Row],[訂單]]/tblContentMetrics[[#This Row],[LINE新增]],"")</f>
        <v/>
      </c>
    </row>
    <row r="33" spans="17:20" ht="19.95" customHeight="1">
      <c r="Q33" s="4" t="str">
        <f>IFERROR((tblContentMetrics[[#This Row],[收藏]]+tblContentMetrics[[#This Row],[分享]]+tblContentMetrics[[#This Row],[留言]]+tblContentMetrics[[#This Row],[私訊]]) / tblContentMetrics[[#This Row],[觀看]],"")</f>
        <v/>
      </c>
      <c r="R33" s="4" t="str">
        <f>IFERROR(tblContentMetrics[[#This Row],[LINE新增]]/tblContentMetrics[[#This Row],[觀看]],"")</f>
        <v/>
      </c>
      <c r="S33" s="4" t="str">
        <f>IFERROR(tblContentMetrics[[#This Row],[預約]]/tblContentMetrics[[#This Row],[LINE新增]],"")</f>
        <v/>
      </c>
      <c r="T33" s="4" t="str">
        <f>IFERROR(tblContentMetrics[[#This Row],[訂單]]/tblContentMetrics[[#This Row],[LINE新增]],"")</f>
        <v/>
      </c>
    </row>
    <row r="34" spans="17:20" ht="19.95" customHeight="1">
      <c r="Q34" s="4" t="str">
        <f>IFERROR((tblContentMetrics[[#This Row],[收藏]]+tblContentMetrics[[#This Row],[分享]]+tblContentMetrics[[#This Row],[留言]]+tblContentMetrics[[#This Row],[私訊]]) / tblContentMetrics[[#This Row],[觀看]],"")</f>
        <v/>
      </c>
      <c r="R34" s="4" t="str">
        <f>IFERROR(tblContentMetrics[[#This Row],[LINE新增]]/tblContentMetrics[[#This Row],[觀看]],"")</f>
        <v/>
      </c>
      <c r="S34" s="4" t="str">
        <f>IFERROR(tblContentMetrics[[#This Row],[預約]]/tblContentMetrics[[#This Row],[LINE新增]],"")</f>
        <v/>
      </c>
      <c r="T34" s="4" t="str">
        <f>IFERROR(tblContentMetrics[[#This Row],[訂單]]/tblContentMetrics[[#This Row],[LINE新增]],"")</f>
        <v/>
      </c>
    </row>
    <row r="35" spans="17:20" ht="19.95" customHeight="1">
      <c r="Q35" s="4" t="str">
        <f>IFERROR((tblContentMetrics[[#This Row],[收藏]]+tblContentMetrics[[#This Row],[分享]]+tblContentMetrics[[#This Row],[留言]]+tblContentMetrics[[#This Row],[私訊]]) / tblContentMetrics[[#This Row],[觀看]],"")</f>
        <v/>
      </c>
      <c r="R35" s="4" t="str">
        <f>IFERROR(tblContentMetrics[[#This Row],[LINE新增]]/tblContentMetrics[[#This Row],[觀看]],"")</f>
        <v/>
      </c>
      <c r="S35" s="4" t="str">
        <f>IFERROR(tblContentMetrics[[#This Row],[預約]]/tblContentMetrics[[#This Row],[LINE新增]],"")</f>
        <v/>
      </c>
      <c r="T35" s="4" t="str">
        <f>IFERROR(tblContentMetrics[[#This Row],[訂單]]/tblContentMetrics[[#This Row],[LINE新增]],"")</f>
        <v/>
      </c>
    </row>
    <row r="36" spans="17:20" ht="19.95" customHeight="1">
      <c r="Q36" s="4" t="str">
        <f>IFERROR((tblContentMetrics[[#This Row],[收藏]]+tblContentMetrics[[#This Row],[分享]]+tblContentMetrics[[#This Row],[留言]]+tblContentMetrics[[#This Row],[私訊]]) / tblContentMetrics[[#This Row],[觀看]],"")</f>
        <v/>
      </c>
      <c r="R36" s="4" t="str">
        <f>IFERROR(tblContentMetrics[[#This Row],[LINE新增]]/tblContentMetrics[[#This Row],[觀看]],"")</f>
        <v/>
      </c>
      <c r="S36" s="4" t="str">
        <f>IFERROR(tblContentMetrics[[#This Row],[預約]]/tblContentMetrics[[#This Row],[LINE新增]],"")</f>
        <v/>
      </c>
      <c r="T36" s="4" t="str">
        <f>IFERROR(tblContentMetrics[[#This Row],[訂單]]/tblContentMetrics[[#This Row],[LINE新增]],"")</f>
        <v/>
      </c>
    </row>
    <row r="37" spans="17:20" ht="19.95" customHeight="1">
      <c r="Q37" s="4" t="str">
        <f>IFERROR((tblContentMetrics[[#This Row],[收藏]]+tblContentMetrics[[#This Row],[分享]]+tblContentMetrics[[#This Row],[留言]]+tblContentMetrics[[#This Row],[私訊]]) / tblContentMetrics[[#This Row],[觀看]],"")</f>
        <v/>
      </c>
      <c r="R37" s="4" t="str">
        <f>IFERROR(tblContentMetrics[[#This Row],[LINE新增]]/tblContentMetrics[[#This Row],[觀看]],"")</f>
        <v/>
      </c>
      <c r="S37" s="4" t="str">
        <f>IFERROR(tblContentMetrics[[#This Row],[預約]]/tblContentMetrics[[#This Row],[LINE新增]],"")</f>
        <v/>
      </c>
      <c r="T37" s="4" t="str">
        <f>IFERROR(tblContentMetrics[[#This Row],[訂單]]/tblContentMetrics[[#This Row],[LINE新增]],"")</f>
        <v/>
      </c>
    </row>
    <row r="38" spans="17:20" ht="19.95" customHeight="1">
      <c r="Q38" s="4" t="str">
        <f>IFERROR((tblContentMetrics[[#This Row],[收藏]]+tblContentMetrics[[#This Row],[分享]]+tblContentMetrics[[#This Row],[留言]]+tblContentMetrics[[#This Row],[私訊]]) / tblContentMetrics[[#This Row],[觀看]],"")</f>
        <v/>
      </c>
      <c r="R38" s="4" t="str">
        <f>IFERROR(tblContentMetrics[[#This Row],[LINE新增]]/tblContentMetrics[[#This Row],[觀看]],"")</f>
        <v/>
      </c>
      <c r="S38" s="4" t="str">
        <f>IFERROR(tblContentMetrics[[#This Row],[預約]]/tblContentMetrics[[#This Row],[LINE新增]],"")</f>
        <v/>
      </c>
      <c r="T38" s="4" t="str">
        <f>IFERROR(tblContentMetrics[[#This Row],[訂單]]/tblContentMetrics[[#This Row],[LINE新增]],"")</f>
        <v/>
      </c>
    </row>
    <row r="39" spans="17:20" ht="19.95" customHeight="1">
      <c r="Q39" s="4" t="str">
        <f>IFERROR((tblContentMetrics[[#This Row],[收藏]]+tblContentMetrics[[#This Row],[分享]]+tblContentMetrics[[#This Row],[留言]]+tblContentMetrics[[#This Row],[私訊]]) / tblContentMetrics[[#This Row],[觀看]],"")</f>
        <v/>
      </c>
      <c r="R39" s="4" t="str">
        <f>IFERROR(tblContentMetrics[[#This Row],[LINE新增]]/tblContentMetrics[[#This Row],[觀看]],"")</f>
        <v/>
      </c>
      <c r="S39" s="4" t="str">
        <f>IFERROR(tblContentMetrics[[#This Row],[預約]]/tblContentMetrics[[#This Row],[LINE新增]],"")</f>
        <v/>
      </c>
      <c r="T39" s="4" t="str">
        <f>IFERROR(tblContentMetrics[[#This Row],[訂單]]/tblContentMetrics[[#This Row],[LINE新增]],"")</f>
        <v/>
      </c>
    </row>
    <row r="40" spans="17:20" ht="19.95" customHeight="1">
      <c r="Q40" s="4" t="str">
        <f>IFERROR((tblContentMetrics[[#This Row],[收藏]]+tblContentMetrics[[#This Row],[分享]]+tblContentMetrics[[#This Row],[留言]]+tblContentMetrics[[#This Row],[私訊]]) / tblContentMetrics[[#This Row],[觀看]],"")</f>
        <v/>
      </c>
      <c r="R40" s="4" t="str">
        <f>IFERROR(tblContentMetrics[[#This Row],[LINE新增]]/tblContentMetrics[[#This Row],[觀看]],"")</f>
        <v/>
      </c>
      <c r="S40" s="4" t="str">
        <f>IFERROR(tblContentMetrics[[#This Row],[預約]]/tblContentMetrics[[#This Row],[LINE新增]],"")</f>
        <v/>
      </c>
      <c r="T40" s="4" t="str">
        <f>IFERROR(tblContentMetrics[[#This Row],[訂單]]/tblContentMetrics[[#This Row],[LINE新增]],"")</f>
        <v/>
      </c>
    </row>
    <row r="41" spans="17:20" ht="19.95" customHeight="1">
      <c r="Q41" s="4" t="str">
        <f>IFERROR((tblContentMetrics[[#This Row],[收藏]]+tblContentMetrics[[#This Row],[分享]]+tblContentMetrics[[#This Row],[留言]]+tblContentMetrics[[#This Row],[私訊]]) / tblContentMetrics[[#This Row],[觀看]],"")</f>
        <v/>
      </c>
      <c r="R41" s="4" t="str">
        <f>IFERROR(tblContentMetrics[[#This Row],[LINE新增]]/tblContentMetrics[[#This Row],[觀看]],"")</f>
        <v/>
      </c>
      <c r="S41" s="4" t="str">
        <f>IFERROR(tblContentMetrics[[#This Row],[預約]]/tblContentMetrics[[#This Row],[LINE新增]],"")</f>
        <v/>
      </c>
      <c r="T41" s="4" t="str">
        <f>IFERROR(tblContentMetrics[[#This Row],[訂單]]/tblContentMetrics[[#This Row],[LINE新增]],"")</f>
        <v/>
      </c>
    </row>
    <row r="42" spans="17:20" ht="19.95" customHeight="1">
      <c r="Q42" s="4" t="str">
        <f>IFERROR((tblContentMetrics[[#This Row],[收藏]]+tblContentMetrics[[#This Row],[分享]]+tblContentMetrics[[#This Row],[留言]]+tblContentMetrics[[#This Row],[私訊]]) / tblContentMetrics[[#This Row],[觀看]],"")</f>
        <v/>
      </c>
      <c r="R42" s="4" t="str">
        <f>IFERROR(tblContentMetrics[[#This Row],[LINE新增]]/tblContentMetrics[[#This Row],[觀看]],"")</f>
        <v/>
      </c>
      <c r="S42" s="4" t="str">
        <f>IFERROR(tblContentMetrics[[#This Row],[預約]]/tblContentMetrics[[#This Row],[LINE新增]],"")</f>
        <v/>
      </c>
      <c r="T42" s="4" t="str">
        <f>IFERROR(tblContentMetrics[[#This Row],[訂單]]/tblContentMetrics[[#This Row],[LINE新增]],"")</f>
        <v/>
      </c>
    </row>
    <row r="43" spans="17:20" ht="19.95" customHeight="1">
      <c r="Q43" s="4" t="str">
        <f>IFERROR((tblContentMetrics[[#This Row],[收藏]]+tblContentMetrics[[#This Row],[分享]]+tblContentMetrics[[#This Row],[留言]]+tblContentMetrics[[#This Row],[私訊]]) / tblContentMetrics[[#This Row],[觀看]],"")</f>
        <v/>
      </c>
      <c r="R43" s="4" t="str">
        <f>IFERROR(tblContentMetrics[[#This Row],[LINE新增]]/tblContentMetrics[[#This Row],[觀看]],"")</f>
        <v/>
      </c>
      <c r="S43" s="4" t="str">
        <f>IFERROR(tblContentMetrics[[#This Row],[預約]]/tblContentMetrics[[#This Row],[LINE新增]],"")</f>
        <v/>
      </c>
      <c r="T43" s="4" t="str">
        <f>IFERROR(tblContentMetrics[[#This Row],[訂單]]/tblContentMetrics[[#This Row],[LINE新增]],"")</f>
        <v/>
      </c>
    </row>
    <row r="44" spans="17:20" ht="19.95" customHeight="1">
      <c r="Q44" s="4" t="str">
        <f>IFERROR((tblContentMetrics[[#This Row],[收藏]]+tblContentMetrics[[#This Row],[分享]]+tblContentMetrics[[#This Row],[留言]]+tblContentMetrics[[#This Row],[私訊]]) / tblContentMetrics[[#This Row],[觀看]],"")</f>
        <v/>
      </c>
      <c r="R44" s="4" t="str">
        <f>IFERROR(tblContentMetrics[[#This Row],[LINE新增]]/tblContentMetrics[[#This Row],[觀看]],"")</f>
        <v/>
      </c>
      <c r="S44" s="4" t="str">
        <f>IFERROR(tblContentMetrics[[#This Row],[預約]]/tblContentMetrics[[#This Row],[LINE新增]],"")</f>
        <v/>
      </c>
      <c r="T44" s="4" t="str">
        <f>IFERROR(tblContentMetrics[[#This Row],[訂單]]/tblContentMetrics[[#This Row],[LINE新增]],"")</f>
        <v/>
      </c>
    </row>
    <row r="45" spans="17:20" ht="19.95" customHeight="1">
      <c r="Q45" s="4" t="str">
        <f>IFERROR((tblContentMetrics[[#This Row],[收藏]]+tblContentMetrics[[#This Row],[分享]]+tblContentMetrics[[#This Row],[留言]]+tblContentMetrics[[#This Row],[私訊]]) / tblContentMetrics[[#This Row],[觀看]],"")</f>
        <v/>
      </c>
      <c r="R45" s="4" t="str">
        <f>IFERROR(tblContentMetrics[[#This Row],[LINE新增]]/tblContentMetrics[[#This Row],[觀看]],"")</f>
        <v/>
      </c>
      <c r="S45" s="4" t="str">
        <f>IFERROR(tblContentMetrics[[#This Row],[預約]]/tblContentMetrics[[#This Row],[LINE新增]],"")</f>
        <v/>
      </c>
      <c r="T45" s="4" t="str">
        <f>IFERROR(tblContentMetrics[[#This Row],[訂單]]/tblContentMetrics[[#This Row],[LINE新增]],"")</f>
        <v/>
      </c>
    </row>
    <row r="46" spans="17:20" ht="19.95" customHeight="1">
      <c r="Q46" s="4" t="str">
        <f>IFERROR((tblContentMetrics[[#This Row],[收藏]]+tblContentMetrics[[#This Row],[分享]]+tblContentMetrics[[#This Row],[留言]]+tblContentMetrics[[#This Row],[私訊]]) / tblContentMetrics[[#This Row],[觀看]],"")</f>
        <v/>
      </c>
      <c r="R46" s="4" t="str">
        <f>IFERROR(tblContentMetrics[[#This Row],[LINE新增]]/tblContentMetrics[[#This Row],[觀看]],"")</f>
        <v/>
      </c>
      <c r="S46" s="4" t="str">
        <f>IFERROR(tblContentMetrics[[#This Row],[預約]]/tblContentMetrics[[#This Row],[LINE新增]],"")</f>
        <v/>
      </c>
      <c r="T46" s="4" t="str">
        <f>IFERROR(tblContentMetrics[[#This Row],[訂單]]/tblContentMetrics[[#This Row],[LINE新增]],"")</f>
        <v/>
      </c>
    </row>
    <row r="47" spans="17:20" ht="19.95" customHeight="1">
      <c r="Q47" s="4" t="str">
        <f>IFERROR((tblContentMetrics[[#This Row],[收藏]]+tblContentMetrics[[#This Row],[分享]]+tblContentMetrics[[#This Row],[留言]]+tblContentMetrics[[#This Row],[私訊]]) / tblContentMetrics[[#This Row],[觀看]],"")</f>
        <v/>
      </c>
      <c r="R47" s="4" t="str">
        <f>IFERROR(tblContentMetrics[[#This Row],[LINE新增]]/tblContentMetrics[[#This Row],[觀看]],"")</f>
        <v/>
      </c>
      <c r="S47" s="4" t="str">
        <f>IFERROR(tblContentMetrics[[#This Row],[預約]]/tblContentMetrics[[#This Row],[LINE新增]],"")</f>
        <v/>
      </c>
      <c r="T47" s="4" t="str">
        <f>IFERROR(tblContentMetrics[[#This Row],[訂單]]/tblContentMetrics[[#This Row],[LINE新增]],"")</f>
        <v/>
      </c>
    </row>
    <row r="48" spans="17:20" ht="19.95" customHeight="1">
      <c r="Q48" s="4" t="str">
        <f>IFERROR((tblContentMetrics[[#This Row],[收藏]]+tblContentMetrics[[#This Row],[分享]]+tblContentMetrics[[#This Row],[留言]]+tblContentMetrics[[#This Row],[私訊]]) / tblContentMetrics[[#This Row],[觀看]],"")</f>
        <v/>
      </c>
      <c r="R48" s="4" t="str">
        <f>IFERROR(tblContentMetrics[[#This Row],[LINE新增]]/tblContentMetrics[[#This Row],[觀看]],"")</f>
        <v/>
      </c>
      <c r="S48" s="4" t="str">
        <f>IFERROR(tblContentMetrics[[#This Row],[預約]]/tblContentMetrics[[#This Row],[LINE新增]],"")</f>
        <v/>
      </c>
      <c r="T48" s="4" t="str">
        <f>IFERROR(tblContentMetrics[[#This Row],[訂單]]/tblContentMetrics[[#This Row],[LINE新增]],"")</f>
        <v/>
      </c>
    </row>
    <row r="49" spans="17:20" ht="19.95" customHeight="1">
      <c r="Q49" s="4" t="str">
        <f>IFERROR((tblContentMetrics[[#This Row],[收藏]]+tblContentMetrics[[#This Row],[分享]]+tblContentMetrics[[#This Row],[留言]]+tblContentMetrics[[#This Row],[私訊]]) / tblContentMetrics[[#This Row],[觀看]],"")</f>
        <v/>
      </c>
      <c r="R49" s="4" t="str">
        <f>IFERROR(tblContentMetrics[[#This Row],[LINE新增]]/tblContentMetrics[[#This Row],[觀看]],"")</f>
        <v/>
      </c>
      <c r="S49" s="4" t="str">
        <f>IFERROR(tblContentMetrics[[#This Row],[預約]]/tblContentMetrics[[#This Row],[LINE新增]],"")</f>
        <v/>
      </c>
      <c r="T49" s="4" t="str">
        <f>IFERROR(tblContentMetrics[[#This Row],[訂單]]/tblContentMetrics[[#This Row],[LINE新增]],"")</f>
        <v/>
      </c>
    </row>
    <row r="50" spans="17:20" ht="19.95" customHeight="1">
      <c r="Q50" s="4" t="str">
        <f>IFERROR((tblContentMetrics[[#This Row],[收藏]]+tblContentMetrics[[#This Row],[分享]]+tblContentMetrics[[#This Row],[留言]]+tblContentMetrics[[#This Row],[私訊]]) / tblContentMetrics[[#This Row],[觀看]],"")</f>
        <v/>
      </c>
      <c r="R50" s="4" t="str">
        <f>IFERROR(tblContentMetrics[[#This Row],[LINE新增]]/tblContentMetrics[[#This Row],[觀看]],"")</f>
        <v/>
      </c>
      <c r="S50" s="4" t="str">
        <f>IFERROR(tblContentMetrics[[#This Row],[預約]]/tblContentMetrics[[#This Row],[LINE新增]],"")</f>
        <v/>
      </c>
      <c r="T50" s="4" t="str">
        <f>IFERROR(tblContentMetrics[[#This Row],[訂單]]/tblContentMetrics[[#This Row],[LINE新增]],"")</f>
        <v/>
      </c>
    </row>
    <row r="51" spans="17:20" ht="19.95" customHeight="1">
      <c r="Q51" s="4" t="str">
        <f>IFERROR((tblContentMetrics[[#This Row],[收藏]]+tblContentMetrics[[#This Row],[分享]]+tblContentMetrics[[#This Row],[留言]]+tblContentMetrics[[#This Row],[私訊]]) / tblContentMetrics[[#This Row],[觀看]],"")</f>
        <v/>
      </c>
      <c r="R51" s="4" t="str">
        <f>IFERROR(tblContentMetrics[[#This Row],[LINE新增]]/tblContentMetrics[[#This Row],[觀看]],"")</f>
        <v/>
      </c>
      <c r="S51" s="4" t="str">
        <f>IFERROR(tblContentMetrics[[#This Row],[預約]]/tblContentMetrics[[#This Row],[LINE新增]],"")</f>
        <v/>
      </c>
      <c r="T51" s="4" t="str">
        <f>IFERROR(tblContentMetrics[[#This Row],[訂單]]/tblContentMetrics[[#This Row],[LINE新增]],"")</f>
        <v/>
      </c>
    </row>
    <row r="52" spans="17:20" ht="19.95" customHeight="1">
      <c r="Q52" s="4" t="str">
        <f>IFERROR((tblContentMetrics[[#This Row],[收藏]]+tblContentMetrics[[#This Row],[分享]]+tblContentMetrics[[#This Row],[留言]]+tblContentMetrics[[#This Row],[私訊]]) / tblContentMetrics[[#This Row],[觀看]],"")</f>
        <v/>
      </c>
      <c r="R52" s="4" t="str">
        <f>IFERROR(tblContentMetrics[[#This Row],[LINE新增]]/tblContentMetrics[[#This Row],[觀看]],"")</f>
        <v/>
      </c>
      <c r="S52" s="4" t="str">
        <f>IFERROR(tblContentMetrics[[#This Row],[預約]]/tblContentMetrics[[#This Row],[LINE新增]],"")</f>
        <v/>
      </c>
      <c r="T52" s="4" t="str">
        <f>IFERROR(tblContentMetrics[[#This Row],[訂單]]/tblContentMetrics[[#This Row],[LINE新增]],"")</f>
        <v/>
      </c>
    </row>
    <row r="53" spans="17:20" ht="19.95" customHeight="1">
      <c r="Q53" s="4" t="str">
        <f>IFERROR((tblContentMetrics[[#This Row],[收藏]]+tblContentMetrics[[#This Row],[分享]]+tblContentMetrics[[#This Row],[留言]]+tblContentMetrics[[#This Row],[私訊]]) / tblContentMetrics[[#This Row],[觀看]],"")</f>
        <v/>
      </c>
      <c r="R53" s="4" t="str">
        <f>IFERROR(tblContentMetrics[[#This Row],[LINE新增]]/tblContentMetrics[[#This Row],[觀看]],"")</f>
        <v/>
      </c>
      <c r="S53" s="4" t="str">
        <f>IFERROR(tblContentMetrics[[#This Row],[預約]]/tblContentMetrics[[#This Row],[LINE新增]],"")</f>
        <v/>
      </c>
      <c r="T53" s="4" t="str">
        <f>IFERROR(tblContentMetrics[[#This Row],[訂單]]/tblContentMetrics[[#This Row],[LINE新增]],"")</f>
        <v/>
      </c>
    </row>
    <row r="54" spans="17:20" ht="19.95" customHeight="1">
      <c r="Q54" s="4" t="str">
        <f>IFERROR((tblContentMetrics[[#This Row],[收藏]]+tblContentMetrics[[#This Row],[分享]]+tblContentMetrics[[#This Row],[留言]]+tblContentMetrics[[#This Row],[私訊]]) / tblContentMetrics[[#This Row],[觀看]],"")</f>
        <v/>
      </c>
      <c r="R54" s="4" t="str">
        <f>IFERROR(tblContentMetrics[[#This Row],[LINE新增]]/tblContentMetrics[[#This Row],[觀看]],"")</f>
        <v/>
      </c>
      <c r="S54" s="4" t="str">
        <f>IFERROR(tblContentMetrics[[#This Row],[預約]]/tblContentMetrics[[#This Row],[LINE新增]],"")</f>
        <v/>
      </c>
      <c r="T54" s="4" t="str">
        <f>IFERROR(tblContentMetrics[[#This Row],[訂單]]/tblContentMetrics[[#This Row],[LINE新增]],"")</f>
        <v/>
      </c>
    </row>
    <row r="55" spans="17:20" ht="19.95" customHeight="1">
      <c r="Q55" s="4" t="str">
        <f>IFERROR((tblContentMetrics[[#This Row],[收藏]]+tblContentMetrics[[#This Row],[分享]]+tblContentMetrics[[#This Row],[留言]]+tblContentMetrics[[#This Row],[私訊]]) / tblContentMetrics[[#This Row],[觀看]],"")</f>
        <v/>
      </c>
      <c r="R55" s="4" t="str">
        <f>IFERROR(tblContentMetrics[[#This Row],[LINE新增]]/tblContentMetrics[[#This Row],[觀看]],"")</f>
        <v/>
      </c>
      <c r="S55" s="4" t="str">
        <f>IFERROR(tblContentMetrics[[#This Row],[預約]]/tblContentMetrics[[#This Row],[LINE新增]],"")</f>
        <v/>
      </c>
      <c r="T55" s="4" t="str">
        <f>IFERROR(tblContentMetrics[[#This Row],[訂單]]/tblContentMetrics[[#This Row],[LINE新增]],"")</f>
        <v/>
      </c>
    </row>
    <row r="56" spans="17:20" ht="19.95" customHeight="1">
      <c r="Q56" s="4" t="str">
        <f>IFERROR((tblContentMetrics[[#This Row],[收藏]]+tblContentMetrics[[#This Row],[分享]]+tblContentMetrics[[#This Row],[留言]]+tblContentMetrics[[#This Row],[私訊]]) / tblContentMetrics[[#This Row],[觀看]],"")</f>
        <v/>
      </c>
      <c r="R56" s="4" t="str">
        <f>IFERROR(tblContentMetrics[[#This Row],[LINE新增]]/tblContentMetrics[[#This Row],[觀看]],"")</f>
        <v/>
      </c>
      <c r="S56" s="4" t="str">
        <f>IFERROR(tblContentMetrics[[#This Row],[預約]]/tblContentMetrics[[#This Row],[LINE新增]],"")</f>
        <v/>
      </c>
      <c r="T56" s="4" t="str">
        <f>IFERROR(tblContentMetrics[[#This Row],[訂單]]/tblContentMetrics[[#This Row],[LINE新增]],"")</f>
        <v/>
      </c>
    </row>
    <row r="57" spans="17:20" ht="19.95" customHeight="1">
      <c r="Q57" s="4" t="str">
        <f>IFERROR((tblContentMetrics[[#This Row],[收藏]]+tblContentMetrics[[#This Row],[分享]]+tblContentMetrics[[#This Row],[留言]]+tblContentMetrics[[#This Row],[私訊]]) / tblContentMetrics[[#This Row],[觀看]],"")</f>
        <v/>
      </c>
      <c r="R57" s="4" t="str">
        <f>IFERROR(tblContentMetrics[[#This Row],[LINE新增]]/tblContentMetrics[[#This Row],[觀看]],"")</f>
        <v/>
      </c>
      <c r="S57" s="4" t="str">
        <f>IFERROR(tblContentMetrics[[#This Row],[預約]]/tblContentMetrics[[#This Row],[LINE新增]],"")</f>
        <v/>
      </c>
      <c r="T57" s="4" t="str">
        <f>IFERROR(tblContentMetrics[[#This Row],[訂單]]/tblContentMetrics[[#This Row],[LINE新增]],"")</f>
        <v/>
      </c>
    </row>
    <row r="58" spans="17:20" ht="19.95" customHeight="1">
      <c r="Q58" s="4" t="str">
        <f>IFERROR((tblContentMetrics[[#This Row],[收藏]]+tblContentMetrics[[#This Row],[分享]]+tblContentMetrics[[#This Row],[留言]]+tblContentMetrics[[#This Row],[私訊]]) / tblContentMetrics[[#This Row],[觀看]],"")</f>
        <v/>
      </c>
      <c r="R58" s="4" t="str">
        <f>IFERROR(tblContentMetrics[[#This Row],[LINE新增]]/tblContentMetrics[[#This Row],[觀看]],"")</f>
        <v/>
      </c>
      <c r="S58" s="4" t="str">
        <f>IFERROR(tblContentMetrics[[#This Row],[預約]]/tblContentMetrics[[#This Row],[LINE新增]],"")</f>
        <v/>
      </c>
      <c r="T58" s="4" t="str">
        <f>IFERROR(tblContentMetrics[[#This Row],[訂單]]/tblContentMetrics[[#This Row],[LINE新增]],"")</f>
        <v/>
      </c>
    </row>
    <row r="59" spans="17:20" ht="19.95" customHeight="1">
      <c r="Q59" s="4" t="str">
        <f>IFERROR((tblContentMetrics[[#This Row],[收藏]]+tblContentMetrics[[#This Row],[分享]]+tblContentMetrics[[#This Row],[留言]]+tblContentMetrics[[#This Row],[私訊]]) / tblContentMetrics[[#This Row],[觀看]],"")</f>
        <v/>
      </c>
      <c r="R59" s="4" t="str">
        <f>IFERROR(tblContentMetrics[[#This Row],[LINE新增]]/tblContentMetrics[[#This Row],[觀看]],"")</f>
        <v/>
      </c>
      <c r="S59" s="4" t="str">
        <f>IFERROR(tblContentMetrics[[#This Row],[預約]]/tblContentMetrics[[#This Row],[LINE新增]],"")</f>
        <v/>
      </c>
      <c r="T59" s="4" t="str">
        <f>IFERROR(tblContentMetrics[[#This Row],[訂單]]/tblContentMetrics[[#This Row],[LINE新增]],"")</f>
        <v/>
      </c>
    </row>
    <row r="60" spans="17:20" ht="19.95" customHeight="1">
      <c r="Q60" s="4" t="str">
        <f>IFERROR((tblContentMetrics[[#This Row],[收藏]]+tblContentMetrics[[#This Row],[分享]]+tblContentMetrics[[#This Row],[留言]]+tblContentMetrics[[#This Row],[私訊]]) / tblContentMetrics[[#This Row],[觀看]],"")</f>
        <v/>
      </c>
      <c r="R60" s="4" t="str">
        <f>IFERROR(tblContentMetrics[[#This Row],[LINE新增]]/tblContentMetrics[[#This Row],[觀看]],"")</f>
        <v/>
      </c>
      <c r="S60" s="4" t="str">
        <f>IFERROR(tblContentMetrics[[#This Row],[預約]]/tblContentMetrics[[#This Row],[LINE新增]],"")</f>
        <v/>
      </c>
      <c r="T60" s="4" t="str">
        <f>IFERROR(tblContentMetrics[[#This Row],[訂單]]/tblContentMetrics[[#This Row],[LINE新增]],"")</f>
        <v/>
      </c>
    </row>
    <row r="61" spans="17:20" ht="19.95" customHeight="1">
      <c r="Q61" s="4" t="str">
        <f>IFERROR((tblContentMetrics[[#This Row],[收藏]]+tblContentMetrics[[#This Row],[分享]]+tblContentMetrics[[#This Row],[留言]]+tblContentMetrics[[#This Row],[私訊]]) / tblContentMetrics[[#This Row],[觀看]],"")</f>
        <v/>
      </c>
      <c r="R61" s="4" t="str">
        <f>IFERROR(tblContentMetrics[[#This Row],[LINE新增]]/tblContentMetrics[[#This Row],[觀看]],"")</f>
        <v/>
      </c>
      <c r="S61" s="4" t="str">
        <f>IFERROR(tblContentMetrics[[#This Row],[預約]]/tblContentMetrics[[#This Row],[LINE新增]],"")</f>
        <v/>
      </c>
      <c r="T61" s="4" t="str">
        <f>IFERROR(tblContentMetrics[[#This Row],[訂單]]/tblContentMetrics[[#This Row],[LINE新增]],"")</f>
        <v/>
      </c>
    </row>
    <row r="62" spans="17:20" ht="19.95" customHeight="1">
      <c r="Q62" s="4" t="str">
        <f>IFERROR((tblContentMetrics[[#This Row],[收藏]]+tblContentMetrics[[#This Row],[分享]]+tblContentMetrics[[#This Row],[留言]]+tblContentMetrics[[#This Row],[私訊]]) / tblContentMetrics[[#This Row],[觀看]],"")</f>
        <v/>
      </c>
      <c r="R62" s="4" t="str">
        <f>IFERROR(tblContentMetrics[[#This Row],[LINE新增]]/tblContentMetrics[[#This Row],[觀看]],"")</f>
        <v/>
      </c>
      <c r="S62" s="4" t="str">
        <f>IFERROR(tblContentMetrics[[#This Row],[預約]]/tblContentMetrics[[#This Row],[LINE新增]],"")</f>
        <v/>
      </c>
      <c r="T62" s="4" t="str">
        <f>IFERROR(tblContentMetrics[[#This Row],[訂單]]/tblContentMetrics[[#This Row],[LINE新增]],"")</f>
        <v/>
      </c>
    </row>
    <row r="63" spans="17:20" ht="19.95" customHeight="1">
      <c r="Q63" s="4" t="str">
        <f>IFERROR((tblContentMetrics[[#This Row],[收藏]]+tblContentMetrics[[#This Row],[分享]]+tblContentMetrics[[#This Row],[留言]]+tblContentMetrics[[#This Row],[私訊]]) / tblContentMetrics[[#This Row],[觀看]],"")</f>
        <v/>
      </c>
      <c r="R63" s="4" t="str">
        <f>IFERROR(tblContentMetrics[[#This Row],[LINE新增]]/tblContentMetrics[[#This Row],[觀看]],"")</f>
        <v/>
      </c>
      <c r="S63" s="4" t="str">
        <f>IFERROR(tblContentMetrics[[#This Row],[預約]]/tblContentMetrics[[#This Row],[LINE新增]],"")</f>
        <v/>
      </c>
      <c r="T63" s="4" t="str">
        <f>IFERROR(tblContentMetrics[[#This Row],[訂單]]/tblContentMetrics[[#This Row],[LINE新增]],"")</f>
        <v/>
      </c>
    </row>
    <row r="64" spans="17:20" ht="19.95" customHeight="1">
      <c r="Q64" s="4" t="str">
        <f>IFERROR((tblContentMetrics[[#This Row],[收藏]]+tblContentMetrics[[#This Row],[分享]]+tblContentMetrics[[#This Row],[留言]]+tblContentMetrics[[#This Row],[私訊]]) / tblContentMetrics[[#This Row],[觀看]],"")</f>
        <v/>
      </c>
      <c r="R64" s="4" t="str">
        <f>IFERROR(tblContentMetrics[[#This Row],[LINE新增]]/tblContentMetrics[[#This Row],[觀看]],"")</f>
        <v/>
      </c>
      <c r="S64" s="4" t="str">
        <f>IFERROR(tblContentMetrics[[#This Row],[預約]]/tblContentMetrics[[#This Row],[LINE新增]],"")</f>
        <v/>
      </c>
      <c r="T64" s="4" t="str">
        <f>IFERROR(tblContentMetrics[[#This Row],[訂單]]/tblContentMetrics[[#This Row],[LINE新增]],"")</f>
        <v/>
      </c>
    </row>
    <row r="65" spans="17:20" ht="19.95" customHeight="1">
      <c r="Q65" s="4" t="str">
        <f>IFERROR((tblContentMetrics[[#This Row],[收藏]]+tblContentMetrics[[#This Row],[分享]]+tblContentMetrics[[#This Row],[留言]]+tblContentMetrics[[#This Row],[私訊]]) / tblContentMetrics[[#This Row],[觀看]],"")</f>
        <v/>
      </c>
      <c r="R65" s="4" t="str">
        <f>IFERROR(tblContentMetrics[[#This Row],[LINE新增]]/tblContentMetrics[[#This Row],[觀看]],"")</f>
        <v/>
      </c>
      <c r="S65" s="4" t="str">
        <f>IFERROR(tblContentMetrics[[#This Row],[預約]]/tblContentMetrics[[#This Row],[LINE新增]],"")</f>
        <v/>
      </c>
      <c r="T65" s="4" t="str">
        <f>IFERROR(tblContentMetrics[[#This Row],[訂單]]/tblContentMetrics[[#This Row],[LINE新增]],"")</f>
        <v/>
      </c>
    </row>
    <row r="66" spans="17:20" ht="19.95" customHeight="1">
      <c r="Q66" s="4" t="str">
        <f>IFERROR((tblContentMetrics[[#This Row],[收藏]]+tblContentMetrics[[#This Row],[分享]]+tblContentMetrics[[#This Row],[留言]]+tblContentMetrics[[#This Row],[私訊]]) / tblContentMetrics[[#This Row],[觀看]],"")</f>
        <v/>
      </c>
      <c r="R66" s="4" t="str">
        <f>IFERROR(tblContentMetrics[[#This Row],[LINE新增]]/tblContentMetrics[[#This Row],[觀看]],"")</f>
        <v/>
      </c>
      <c r="S66" s="4" t="str">
        <f>IFERROR(tblContentMetrics[[#This Row],[預約]]/tblContentMetrics[[#This Row],[LINE新增]],"")</f>
        <v/>
      </c>
      <c r="T66" s="4" t="str">
        <f>IFERROR(tblContentMetrics[[#This Row],[訂單]]/tblContentMetrics[[#This Row],[LINE新增]],"")</f>
        <v/>
      </c>
    </row>
    <row r="67" spans="17:20" ht="19.95" customHeight="1">
      <c r="Q67" s="4" t="str">
        <f>IFERROR((tblContentMetrics[[#This Row],[收藏]]+tblContentMetrics[[#This Row],[分享]]+tblContentMetrics[[#This Row],[留言]]+tblContentMetrics[[#This Row],[私訊]]) / tblContentMetrics[[#This Row],[觀看]],"")</f>
        <v/>
      </c>
      <c r="R67" s="4" t="str">
        <f>IFERROR(tblContentMetrics[[#This Row],[LINE新增]]/tblContentMetrics[[#This Row],[觀看]],"")</f>
        <v/>
      </c>
      <c r="S67" s="4" t="str">
        <f>IFERROR(tblContentMetrics[[#This Row],[預約]]/tblContentMetrics[[#This Row],[LINE新增]],"")</f>
        <v/>
      </c>
      <c r="T67" s="4" t="str">
        <f>IFERROR(tblContentMetrics[[#This Row],[訂單]]/tblContentMetrics[[#This Row],[LINE新增]],"")</f>
        <v/>
      </c>
    </row>
    <row r="68" spans="17:20" ht="19.95" customHeight="1">
      <c r="Q68" s="4" t="str">
        <f>IFERROR((tblContentMetrics[[#This Row],[收藏]]+tblContentMetrics[[#This Row],[分享]]+tblContentMetrics[[#This Row],[留言]]+tblContentMetrics[[#This Row],[私訊]]) / tblContentMetrics[[#This Row],[觀看]],"")</f>
        <v/>
      </c>
      <c r="R68" s="4" t="str">
        <f>IFERROR(tblContentMetrics[[#This Row],[LINE新增]]/tblContentMetrics[[#This Row],[觀看]],"")</f>
        <v/>
      </c>
      <c r="S68" s="4" t="str">
        <f>IFERROR(tblContentMetrics[[#This Row],[預約]]/tblContentMetrics[[#This Row],[LINE新增]],"")</f>
        <v/>
      </c>
      <c r="T68" s="4" t="str">
        <f>IFERROR(tblContentMetrics[[#This Row],[訂單]]/tblContentMetrics[[#This Row],[LINE新增]],"")</f>
        <v/>
      </c>
    </row>
    <row r="69" spans="17:20" ht="19.95" customHeight="1">
      <c r="Q69" s="4" t="str">
        <f>IFERROR((tblContentMetrics[[#This Row],[收藏]]+tblContentMetrics[[#This Row],[分享]]+tblContentMetrics[[#This Row],[留言]]+tblContentMetrics[[#This Row],[私訊]]) / tblContentMetrics[[#This Row],[觀看]],"")</f>
        <v/>
      </c>
      <c r="R69" s="4" t="str">
        <f>IFERROR(tblContentMetrics[[#This Row],[LINE新增]]/tblContentMetrics[[#This Row],[觀看]],"")</f>
        <v/>
      </c>
      <c r="S69" s="4" t="str">
        <f>IFERROR(tblContentMetrics[[#This Row],[預約]]/tblContentMetrics[[#This Row],[LINE新增]],"")</f>
        <v/>
      </c>
      <c r="T69" s="4" t="str">
        <f>IFERROR(tblContentMetrics[[#This Row],[訂單]]/tblContentMetrics[[#This Row],[LINE新增]],"")</f>
        <v/>
      </c>
    </row>
    <row r="70" spans="17:20" ht="19.95" customHeight="1">
      <c r="Q70" s="4" t="str">
        <f>IFERROR((tblContentMetrics[[#This Row],[收藏]]+tblContentMetrics[[#This Row],[分享]]+tblContentMetrics[[#This Row],[留言]]+tblContentMetrics[[#This Row],[私訊]]) / tblContentMetrics[[#This Row],[觀看]],"")</f>
        <v/>
      </c>
      <c r="R70" s="4" t="str">
        <f>IFERROR(tblContentMetrics[[#This Row],[LINE新增]]/tblContentMetrics[[#This Row],[觀看]],"")</f>
        <v/>
      </c>
      <c r="S70" s="4" t="str">
        <f>IFERROR(tblContentMetrics[[#This Row],[預約]]/tblContentMetrics[[#This Row],[LINE新增]],"")</f>
        <v/>
      </c>
      <c r="T70" s="4" t="str">
        <f>IFERROR(tblContentMetrics[[#This Row],[訂單]]/tblContentMetrics[[#This Row],[LINE新增]],"")</f>
        <v/>
      </c>
    </row>
    <row r="71" spans="17:20" ht="19.95" customHeight="1">
      <c r="Q71" s="4" t="str">
        <f>IFERROR((tblContentMetrics[[#This Row],[收藏]]+tblContentMetrics[[#This Row],[分享]]+tblContentMetrics[[#This Row],[留言]]+tblContentMetrics[[#This Row],[私訊]]) / tblContentMetrics[[#This Row],[觀看]],"")</f>
        <v/>
      </c>
      <c r="R71" s="4" t="str">
        <f>IFERROR(tblContentMetrics[[#This Row],[LINE新增]]/tblContentMetrics[[#This Row],[觀看]],"")</f>
        <v/>
      </c>
      <c r="S71" s="4" t="str">
        <f>IFERROR(tblContentMetrics[[#This Row],[預約]]/tblContentMetrics[[#This Row],[LINE新增]],"")</f>
        <v/>
      </c>
      <c r="T71" s="4" t="str">
        <f>IFERROR(tblContentMetrics[[#This Row],[訂單]]/tblContentMetrics[[#This Row],[LINE新增]],"")</f>
        <v/>
      </c>
    </row>
    <row r="72" spans="17:20" ht="19.95" customHeight="1">
      <c r="Q72" s="4" t="str">
        <f>IFERROR((tblContentMetrics[[#This Row],[收藏]]+tblContentMetrics[[#This Row],[分享]]+tblContentMetrics[[#This Row],[留言]]+tblContentMetrics[[#This Row],[私訊]]) / tblContentMetrics[[#This Row],[觀看]],"")</f>
        <v/>
      </c>
      <c r="R72" s="4" t="str">
        <f>IFERROR(tblContentMetrics[[#This Row],[LINE新增]]/tblContentMetrics[[#This Row],[觀看]],"")</f>
        <v/>
      </c>
      <c r="S72" s="4" t="str">
        <f>IFERROR(tblContentMetrics[[#This Row],[預約]]/tblContentMetrics[[#This Row],[LINE新增]],"")</f>
        <v/>
      </c>
      <c r="T72" s="4" t="str">
        <f>IFERROR(tblContentMetrics[[#This Row],[訂單]]/tblContentMetrics[[#This Row],[LINE新增]],"")</f>
        <v/>
      </c>
    </row>
    <row r="73" spans="17:20" ht="19.95" customHeight="1">
      <c r="Q73" s="4" t="str">
        <f>IFERROR((tblContentMetrics[[#This Row],[收藏]]+tblContentMetrics[[#This Row],[分享]]+tblContentMetrics[[#This Row],[留言]]+tblContentMetrics[[#This Row],[私訊]]) / tblContentMetrics[[#This Row],[觀看]],"")</f>
        <v/>
      </c>
      <c r="R73" s="4" t="str">
        <f>IFERROR(tblContentMetrics[[#This Row],[LINE新增]]/tblContentMetrics[[#This Row],[觀看]],"")</f>
        <v/>
      </c>
      <c r="S73" s="4" t="str">
        <f>IFERROR(tblContentMetrics[[#This Row],[預約]]/tblContentMetrics[[#This Row],[LINE新增]],"")</f>
        <v/>
      </c>
      <c r="T73" s="4" t="str">
        <f>IFERROR(tblContentMetrics[[#This Row],[訂單]]/tblContentMetrics[[#This Row],[LINE新增]],"")</f>
        <v/>
      </c>
    </row>
    <row r="74" spans="17:20" ht="19.95" customHeight="1">
      <c r="Q74" s="4" t="str">
        <f>IFERROR((tblContentMetrics[[#This Row],[收藏]]+tblContentMetrics[[#This Row],[分享]]+tblContentMetrics[[#This Row],[留言]]+tblContentMetrics[[#This Row],[私訊]]) / tblContentMetrics[[#This Row],[觀看]],"")</f>
        <v/>
      </c>
      <c r="R74" s="4" t="str">
        <f>IFERROR(tblContentMetrics[[#This Row],[LINE新增]]/tblContentMetrics[[#This Row],[觀看]],"")</f>
        <v/>
      </c>
      <c r="S74" s="4" t="str">
        <f>IFERROR(tblContentMetrics[[#This Row],[預約]]/tblContentMetrics[[#This Row],[LINE新增]],"")</f>
        <v/>
      </c>
      <c r="T74" s="4" t="str">
        <f>IFERROR(tblContentMetrics[[#This Row],[訂單]]/tblContentMetrics[[#This Row],[LINE新增]],"")</f>
        <v/>
      </c>
    </row>
    <row r="75" spans="17:20" ht="19.95" customHeight="1">
      <c r="Q75" s="4" t="str">
        <f>IFERROR((tblContentMetrics[[#This Row],[收藏]]+tblContentMetrics[[#This Row],[分享]]+tblContentMetrics[[#This Row],[留言]]+tblContentMetrics[[#This Row],[私訊]]) / tblContentMetrics[[#This Row],[觀看]],"")</f>
        <v/>
      </c>
      <c r="R75" s="4" t="str">
        <f>IFERROR(tblContentMetrics[[#This Row],[LINE新增]]/tblContentMetrics[[#This Row],[觀看]],"")</f>
        <v/>
      </c>
      <c r="S75" s="4" t="str">
        <f>IFERROR(tblContentMetrics[[#This Row],[預約]]/tblContentMetrics[[#This Row],[LINE新增]],"")</f>
        <v/>
      </c>
      <c r="T75" s="4" t="str">
        <f>IFERROR(tblContentMetrics[[#This Row],[訂單]]/tblContentMetrics[[#This Row],[LINE新增]],"")</f>
        <v/>
      </c>
    </row>
    <row r="76" spans="17:20" ht="19.95" customHeight="1">
      <c r="Q76" s="4" t="str">
        <f>IFERROR((tblContentMetrics[[#This Row],[收藏]]+tblContentMetrics[[#This Row],[分享]]+tblContentMetrics[[#This Row],[留言]]+tblContentMetrics[[#This Row],[私訊]]) / tblContentMetrics[[#This Row],[觀看]],"")</f>
        <v/>
      </c>
      <c r="R76" s="4" t="str">
        <f>IFERROR(tblContentMetrics[[#This Row],[LINE新增]]/tblContentMetrics[[#This Row],[觀看]],"")</f>
        <v/>
      </c>
      <c r="S76" s="4" t="str">
        <f>IFERROR(tblContentMetrics[[#This Row],[預約]]/tblContentMetrics[[#This Row],[LINE新增]],"")</f>
        <v/>
      </c>
      <c r="T76" s="4" t="str">
        <f>IFERROR(tblContentMetrics[[#This Row],[訂單]]/tblContentMetrics[[#This Row],[LINE新增]],"")</f>
        <v/>
      </c>
    </row>
    <row r="77" spans="17:20" ht="19.95" customHeight="1">
      <c r="Q77" s="4" t="str">
        <f>IFERROR((tblContentMetrics[[#This Row],[收藏]]+tblContentMetrics[[#This Row],[分享]]+tblContentMetrics[[#This Row],[留言]]+tblContentMetrics[[#This Row],[私訊]]) / tblContentMetrics[[#This Row],[觀看]],"")</f>
        <v/>
      </c>
      <c r="R77" s="4" t="str">
        <f>IFERROR(tblContentMetrics[[#This Row],[LINE新增]]/tblContentMetrics[[#This Row],[觀看]],"")</f>
        <v/>
      </c>
      <c r="S77" s="4" t="str">
        <f>IFERROR(tblContentMetrics[[#This Row],[預約]]/tblContentMetrics[[#This Row],[LINE新增]],"")</f>
        <v/>
      </c>
      <c r="T77" s="4" t="str">
        <f>IFERROR(tblContentMetrics[[#This Row],[訂單]]/tblContentMetrics[[#This Row],[LINE新增]],"")</f>
        <v/>
      </c>
    </row>
    <row r="78" spans="17:20" ht="19.95" customHeight="1">
      <c r="Q78" s="4" t="str">
        <f>IFERROR((tblContentMetrics[[#This Row],[收藏]]+tblContentMetrics[[#This Row],[分享]]+tblContentMetrics[[#This Row],[留言]]+tblContentMetrics[[#This Row],[私訊]]) / tblContentMetrics[[#This Row],[觀看]],"")</f>
        <v/>
      </c>
      <c r="R78" s="4" t="str">
        <f>IFERROR(tblContentMetrics[[#This Row],[LINE新增]]/tblContentMetrics[[#This Row],[觀看]],"")</f>
        <v/>
      </c>
      <c r="S78" s="4" t="str">
        <f>IFERROR(tblContentMetrics[[#This Row],[預約]]/tblContentMetrics[[#This Row],[LINE新增]],"")</f>
        <v/>
      </c>
      <c r="T78" s="4" t="str">
        <f>IFERROR(tblContentMetrics[[#This Row],[訂單]]/tblContentMetrics[[#This Row],[LINE新增]],"")</f>
        <v/>
      </c>
    </row>
    <row r="79" spans="17:20" ht="19.95" customHeight="1">
      <c r="Q79" s="4" t="str">
        <f>IFERROR((tblContentMetrics[[#This Row],[收藏]]+tblContentMetrics[[#This Row],[分享]]+tblContentMetrics[[#This Row],[留言]]+tblContentMetrics[[#This Row],[私訊]]) / tblContentMetrics[[#This Row],[觀看]],"")</f>
        <v/>
      </c>
      <c r="R79" s="4" t="str">
        <f>IFERROR(tblContentMetrics[[#This Row],[LINE新增]]/tblContentMetrics[[#This Row],[觀看]],"")</f>
        <v/>
      </c>
      <c r="S79" s="4" t="str">
        <f>IFERROR(tblContentMetrics[[#This Row],[預約]]/tblContentMetrics[[#This Row],[LINE新增]],"")</f>
        <v/>
      </c>
      <c r="T79" s="4" t="str">
        <f>IFERROR(tblContentMetrics[[#This Row],[訂單]]/tblContentMetrics[[#This Row],[LINE新增]],"")</f>
        <v/>
      </c>
    </row>
    <row r="80" spans="17:20" ht="19.95" customHeight="1">
      <c r="Q80" s="4" t="str">
        <f>IFERROR((tblContentMetrics[[#This Row],[收藏]]+tblContentMetrics[[#This Row],[分享]]+tblContentMetrics[[#This Row],[留言]]+tblContentMetrics[[#This Row],[私訊]]) / tblContentMetrics[[#This Row],[觀看]],"")</f>
        <v/>
      </c>
      <c r="R80" s="4" t="str">
        <f>IFERROR(tblContentMetrics[[#This Row],[LINE新增]]/tblContentMetrics[[#This Row],[觀看]],"")</f>
        <v/>
      </c>
      <c r="S80" s="4" t="str">
        <f>IFERROR(tblContentMetrics[[#This Row],[預約]]/tblContentMetrics[[#This Row],[LINE新增]],"")</f>
        <v/>
      </c>
      <c r="T80" s="4" t="str">
        <f>IFERROR(tblContentMetrics[[#This Row],[訂單]]/tblContentMetrics[[#This Row],[LINE新增]],"")</f>
        <v/>
      </c>
    </row>
    <row r="81" spans="17:20" ht="19.95" customHeight="1">
      <c r="Q81" s="4" t="str">
        <f>IFERROR((tblContentMetrics[[#This Row],[收藏]]+tblContentMetrics[[#This Row],[分享]]+tblContentMetrics[[#This Row],[留言]]+tblContentMetrics[[#This Row],[私訊]]) / tblContentMetrics[[#This Row],[觀看]],"")</f>
        <v/>
      </c>
      <c r="R81" s="4" t="str">
        <f>IFERROR(tblContentMetrics[[#This Row],[LINE新增]]/tblContentMetrics[[#This Row],[觀看]],"")</f>
        <v/>
      </c>
      <c r="S81" s="4" t="str">
        <f>IFERROR(tblContentMetrics[[#This Row],[預約]]/tblContentMetrics[[#This Row],[LINE新增]],"")</f>
        <v/>
      </c>
      <c r="T81" s="4" t="str">
        <f>IFERROR(tblContentMetrics[[#This Row],[訂單]]/tblContentMetrics[[#This Row],[LINE新增]],"")</f>
        <v/>
      </c>
    </row>
    <row r="82" spans="17:20" ht="19.95" customHeight="1">
      <c r="Q82" s="4" t="str">
        <f>IFERROR((tblContentMetrics[[#This Row],[收藏]]+tblContentMetrics[[#This Row],[分享]]+tblContentMetrics[[#This Row],[留言]]+tblContentMetrics[[#This Row],[私訊]]) / tblContentMetrics[[#This Row],[觀看]],"")</f>
        <v/>
      </c>
      <c r="R82" s="4" t="str">
        <f>IFERROR(tblContentMetrics[[#This Row],[LINE新增]]/tblContentMetrics[[#This Row],[觀看]],"")</f>
        <v/>
      </c>
      <c r="S82" s="4" t="str">
        <f>IFERROR(tblContentMetrics[[#This Row],[預約]]/tblContentMetrics[[#This Row],[LINE新增]],"")</f>
        <v/>
      </c>
      <c r="T82" s="4" t="str">
        <f>IFERROR(tblContentMetrics[[#This Row],[訂單]]/tblContentMetrics[[#This Row],[LINE新增]],"")</f>
        <v/>
      </c>
    </row>
    <row r="83" spans="17:20" ht="19.95" customHeight="1">
      <c r="Q83" s="4" t="str">
        <f>IFERROR((tblContentMetrics[[#This Row],[收藏]]+tblContentMetrics[[#This Row],[分享]]+tblContentMetrics[[#This Row],[留言]]+tblContentMetrics[[#This Row],[私訊]]) / tblContentMetrics[[#This Row],[觀看]],"")</f>
        <v/>
      </c>
      <c r="R83" s="4" t="str">
        <f>IFERROR(tblContentMetrics[[#This Row],[LINE新增]]/tblContentMetrics[[#This Row],[觀看]],"")</f>
        <v/>
      </c>
      <c r="S83" s="4" t="str">
        <f>IFERROR(tblContentMetrics[[#This Row],[預約]]/tblContentMetrics[[#This Row],[LINE新增]],"")</f>
        <v/>
      </c>
      <c r="T83" s="4" t="str">
        <f>IFERROR(tblContentMetrics[[#This Row],[訂單]]/tblContentMetrics[[#This Row],[LINE新增]],"")</f>
        <v/>
      </c>
    </row>
    <row r="84" spans="17:20" ht="19.95" customHeight="1">
      <c r="Q84" s="4" t="str">
        <f>IFERROR((tblContentMetrics[[#This Row],[收藏]]+tblContentMetrics[[#This Row],[分享]]+tblContentMetrics[[#This Row],[留言]]+tblContentMetrics[[#This Row],[私訊]]) / tblContentMetrics[[#This Row],[觀看]],"")</f>
        <v/>
      </c>
      <c r="R84" s="4" t="str">
        <f>IFERROR(tblContentMetrics[[#This Row],[LINE新增]]/tblContentMetrics[[#This Row],[觀看]],"")</f>
        <v/>
      </c>
      <c r="S84" s="4" t="str">
        <f>IFERROR(tblContentMetrics[[#This Row],[預約]]/tblContentMetrics[[#This Row],[LINE新增]],"")</f>
        <v/>
      </c>
      <c r="T84" s="4" t="str">
        <f>IFERROR(tblContentMetrics[[#This Row],[訂單]]/tblContentMetrics[[#This Row],[LINE新增]],"")</f>
        <v/>
      </c>
    </row>
    <row r="85" spans="17:20" ht="19.95" customHeight="1">
      <c r="Q85" s="4" t="str">
        <f>IFERROR((tblContentMetrics[[#This Row],[收藏]]+tblContentMetrics[[#This Row],[分享]]+tblContentMetrics[[#This Row],[留言]]+tblContentMetrics[[#This Row],[私訊]]) / tblContentMetrics[[#This Row],[觀看]],"")</f>
        <v/>
      </c>
      <c r="R85" s="4" t="str">
        <f>IFERROR(tblContentMetrics[[#This Row],[LINE新增]]/tblContentMetrics[[#This Row],[觀看]],"")</f>
        <v/>
      </c>
      <c r="S85" s="4" t="str">
        <f>IFERROR(tblContentMetrics[[#This Row],[預約]]/tblContentMetrics[[#This Row],[LINE新增]],"")</f>
        <v/>
      </c>
      <c r="T85" s="4" t="str">
        <f>IFERROR(tblContentMetrics[[#This Row],[訂單]]/tblContentMetrics[[#This Row],[LINE新增]],"")</f>
        <v/>
      </c>
    </row>
    <row r="86" spans="17:20" ht="19.95" customHeight="1">
      <c r="Q86" s="4" t="str">
        <f>IFERROR((tblContentMetrics[[#This Row],[收藏]]+tblContentMetrics[[#This Row],[分享]]+tblContentMetrics[[#This Row],[留言]]+tblContentMetrics[[#This Row],[私訊]]) / tblContentMetrics[[#This Row],[觀看]],"")</f>
        <v/>
      </c>
      <c r="R86" s="4" t="str">
        <f>IFERROR(tblContentMetrics[[#This Row],[LINE新增]]/tblContentMetrics[[#This Row],[觀看]],"")</f>
        <v/>
      </c>
      <c r="S86" s="4" t="str">
        <f>IFERROR(tblContentMetrics[[#This Row],[預約]]/tblContentMetrics[[#This Row],[LINE新增]],"")</f>
        <v/>
      </c>
      <c r="T86" s="4" t="str">
        <f>IFERROR(tblContentMetrics[[#This Row],[訂單]]/tblContentMetrics[[#This Row],[LINE新增]],"")</f>
        <v/>
      </c>
    </row>
    <row r="87" spans="17:20" ht="19.95" customHeight="1">
      <c r="Q87" s="4" t="str">
        <f>IFERROR((tblContentMetrics[[#This Row],[收藏]]+tblContentMetrics[[#This Row],[分享]]+tblContentMetrics[[#This Row],[留言]]+tblContentMetrics[[#This Row],[私訊]]) / tblContentMetrics[[#This Row],[觀看]],"")</f>
        <v/>
      </c>
      <c r="R87" s="4" t="str">
        <f>IFERROR(tblContentMetrics[[#This Row],[LINE新增]]/tblContentMetrics[[#This Row],[觀看]],"")</f>
        <v/>
      </c>
      <c r="S87" s="4" t="str">
        <f>IFERROR(tblContentMetrics[[#This Row],[預約]]/tblContentMetrics[[#This Row],[LINE新增]],"")</f>
        <v/>
      </c>
      <c r="T87" s="4" t="str">
        <f>IFERROR(tblContentMetrics[[#This Row],[訂單]]/tblContentMetrics[[#This Row],[LINE新增]],"")</f>
        <v/>
      </c>
    </row>
    <row r="88" spans="17:20" ht="19.95" customHeight="1">
      <c r="Q88" s="4" t="str">
        <f>IFERROR((tblContentMetrics[[#This Row],[收藏]]+tblContentMetrics[[#This Row],[分享]]+tblContentMetrics[[#This Row],[留言]]+tblContentMetrics[[#This Row],[私訊]]) / tblContentMetrics[[#This Row],[觀看]],"")</f>
        <v/>
      </c>
      <c r="R88" s="4" t="str">
        <f>IFERROR(tblContentMetrics[[#This Row],[LINE新增]]/tblContentMetrics[[#This Row],[觀看]],"")</f>
        <v/>
      </c>
      <c r="S88" s="4" t="str">
        <f>IFERROR(tblContentMetrics[[#This Row],[預約]]/tblContentMetrics[[#This Row],[LINE新增]],"")</f>
        <v/>
      </c>
      <c r="T88" s="4" t="str">
        <f>IFERROR(tblContentMetrics[[#This Row],[訂單]]/tblContentMetrics[[#This Row],[LINE新增]],"")</f>
        <v/>
      </c>
    </row>
    <row r="89" spans="17:20" ht="19.95" customHeight="1">
      <c r="Q89" s="4" t="str">
        <f>IFERROR((tblContentMetrics[[#This Row],[收藏]]+tblContentMetrics[[#This Row],[分享]]+tblContentMetrics[[#This Row],[留言]]+tblContentMetrics[[#This Row],[私訊]]) / tblContentMetrics[[#This Row],[觀看]],"")</f>
        <v/>
      </c>
      <c r="R89" s="4" t="str">
        <f>IFERROR(tblContentMetrics[[#This Row],[LINE新增]]/tblContentMetrics[[#This Row],[觀看]],"")</f>
        <v/>
      </c>
      <c r="S89" s="4" t="str">
        <f>IFERROR(tblContentMetrics[[#This Row],[預約]]/tblContentMetrics[[#This Row],[LINE新增]],"")</f>
        <v/>
      </c>
      <c r="T89" s="4" t="str">
        <f>IFERROR(tblContentMetrics[[#This Row],[訂單]]/tblContentMetrics[[#This Row],[LINE新增]],"")</f>
        <v/>
      </c>
    </row>
    <row r="90" spans="17:20" ht="19.95" customHeight="1">
      <c r="Q90" s="4" t="str">
        <f>IFERROR((tblContentMetrics[[#This Row],[收藏]]+tblContentMetrics[[#This Row],[分享]]+tblContentMetrics[[#This Row],[留言]]+tblContentMetrics[[#This Row],[私訊]]) / tblContentMetrics[[#This Row],[觀看]],"")</f>
        <v/>
      </c>
      <c r="R90" s="4" t="str">
        <f>IFERROR(tblContentMetrics[[#This Row],[LINE新增]]/tblContentMetrics[[#This Row],[觀看]],"")</f>
        <v/>
      </c>
      <c r="S90" s="4" t="str">
        <f>IFERROR(tblContentMetrics[[#This Row],[預約]]/tblContentMetrics[[#This Row],[LINE新增]],"")</f>
        <v/>
      </c>
      <c r="T90" s="4" t="str">
        <f>IFERROR(tblContentMetrics[[#This Row],[訂單]]/tblContentMetrics[[#This Row],[LINE新增]],"")</f>
        <v/>
      </c>
    </row>
    <row r="91" spans="17:20" ht="19.95" customHeight="1">
      <c r="Q91" s="4" t="str">
        <f>IFERROR((tblContentMetrics[[#This Row],[收藏]]+tblContentMetrics[[#This Row],[分享]]+tblContentMetrics[[#This Row],[留言]]+tblContentMetrics[[#This Row],[私訊]]) / tblContentMetrics[[#This Row],[觀看]],"")</f>
        <v/>
      </c>
      <c r="R91" s="4" t="str">
        <f>IFERROR(tblContentMetrics[[#This Row],[LINE新增]]/tblContentMetrics[[#This Row],[觀看]],"")</f>
        <v/>
      </c>
      <c r="S91" s="4" t="str">
        <f>IFERROR(tblContentMetrics[[#This Row],[預約]]/tblContentMetrics[[#This Row],[LINE新增]],"")</f>
        <v/>
      </c>
      <c r="T91" s="4" t="str">
        <f>IFERROR(tblContentMetrics[[#This Row],[訂單]]/tblContentMetrics[[#This Row],[LINE新增]],"")</f>
        <v/>
      </c>
    </row>
    <row r="92" spans="17:20" ht="19.95" customHeight="1">
      <c r="Q92" s="4" t="str">
        <f>IFERROR((tblContentMetrics[[#This Row],[收藏]]+tblContentMetrics[[#This Row],[分享]]+tblContentMetrics[[#This Row],[留言]]+tblContentMetrics[[#This Row],[私訊]]) / tblContentMetrics[[#This Row],[觀看]],"")</f>
        <v/>
      </c>
      <c r="R92" s="4" t="str">
        <f>IFERROR(tblContentMetrics[[#This Row],[LINE新增]]/tblContentMetrics[[#This Row],[觀看]],"")</f>
        <v/>
      </c>
      <c r="S92" s="4" t="str">
        <f>IFERROR(tblContentMetrics[[#This Row],[預約]]/tblContentMetrics[[#This Row],[LINE新增]],"")</f>
        <v/>
      </c>
      <c r="T92" s="4" t="str">
        <f>IFERROR(tblContentMetrics[[#This Row],[訂單]]/tblContentMetrics[[#This Row],[LINE新增]],"")</f>
        <v/>
      </c>
    </row>
    <row r="93" spans="17:20" ht="19.95" customHeight="1">
      <c r="Q93" s="4" t="str">
        <f>IFERROR((tblContentMetrics[[#This Row],[收藏]]+tblContentMetrics[[#This Row],[分享]]+tblContentMetrics[[#This Row],[留言]]+tblContentMetrics[[#This Row],[私訊]]) / tblContentMetrics[[#This Row],[觀看]],"")</f>
        <v/>
      </c>
      <c r="R93" s="4" t="str">
        <f>IFERROR(tblContentMetrics[[#This Row],[LINE新增]]/tblContentMetrics[[#This Row],[觀看]],"")</f>
        <v/>
      </c>
      <c r="S93" s="4" t="str">
        <f>IFERROR(tblContentMetrics[[#This Row],[預約]]/tblContentMetrics[[#This Row],[LINE新增]],"")</f>
        <v/>
      </c>
      <c r="T93" s="4" t="str">
        <f>IFERROR(tblContentMetrics[[#This Row],[訂單]]/tblContentMetrics[[#This Row],[LINE新增]],"")</f>
        <v/>
      </c>
    </row>
    <row r="94" spans="17:20" ht="19.95" customHeight="1">
      <c r="Q94" s="4" t="str">
        <f>IFERROR((tblContentMetrics[[#This Row],[收藏]]+tblContentMetrics[[#This Row],[分享]]+tblContentMetrics[[#This Row],[留言]]+tblContentMetrics[[#This Row],[私訊]]) / tblContentMetrics[[#This Row],[觀看]],"")</f>
        <v/>
      </c>
      <c r="R94" s="4" t="str">
        <f>IFERROR(tblContentMetrics[[#This Row],[LINE新增]]/tblContentMetrics[[#This Row],[觀看]],"")</f>
        <v/>
      </c>
      <c r="S94" s="4" t="str">
        <f>IFERROR(tblContentMetrics[[#This Row],[預約]]/tblContentMetrics[[#This Row],[LINE新增]],"")</f>
        <v/>
      </c>
      <c r="T94" s="4" t="str">
        <f>IFERROR(tblContentMetrics[[#This Row],[訂單]]/tblContentMetrics[[#This Row],[LINE新增]],"")</f>
        <v/>
      </c>
    </row>
    <row r="95" spans="17:20" ht="19.95" customHeight="1">
      <c r="Q95" s="4" t="str">
        <f>IFERROR((tblContentMetrics[[#This Row],[收藏]]+tblContentMetrics[[#This Row],[分享]]+tblContentMetrics[[#This Row],[留言]]+tblContentMetrics[[#This Row],[私訊]]) / tblContentMetrics[[#This Row],[觀看]],"")</f>
        <v/>
      </c>
      <c r="R95" s="4" t="str">
        <f>IFERROR(tblContentMetrics[[#This Row],[LINE新增]]/tblContentMetrics[[#This Row],[觀看]],"")</f>
        <v/>
      </c>
      <c r="S95" s="4" t="str">
        <f>IFERROR(tblContentMetrics[[#This Row],[預約]]/tblContentMetrics[[#This Row],[LINE新增]],"")</f>
        <v/>
      </c>
      <c r="T95" s="4" t="str">
        <f>IFERROR(tblContentMetrics[[#This Row],[訂單]]/tblContentMetrics[[#This Row],[LINE新增]],"")</f>
        <v/>
      </c>
    </row>
    <row r="96" spans="17:20" ht="19.95" customHeight="1">
      <c r="Q96" s="4" t="str">
        <f>IFERROR((tblContentMetrics[[#This Row],[收藏]]+tblContentMetrics[[#This Row],[分享]]+tblContentMetrics[[#This Row],[留言]]+tblContentMetrics[[#This Row],[私訊]]) / tblContentMetrics[[#This Row],[觀看]],"")</f>
        <v/>
      </c>
      <c r="R96" s="4" t="str">
        <f>IFERROR(tblContentMetrics[[#This Row],[LINE新增]]/tblContentMetrics[[#This Row],[觀看]],"")</f>
        <v/>
      </c>
      <c r="S96" s="4" t="str">
        <f>IFERROR(tblContentMetrics[[#This Row],[預約]]/tblContentMetrics[[#This Row],[LINE新增]],"")</f>
        <v/>
      </c>
      <c r="T96" s="4" t="str">
        <f>IFERROR(tblContentMetrics[[#This Row],[訂單]]/tblContentMetrics[[#This Row],[LINE新增]],"")</f>
        <v/>
      </c>
    </row>
    <row r="97" spans="17:20" ht="19.95" customHeight="1">
      <c r="Q97" s="4" t="str">
        <f>IFERROR((tblContentMetrics[[#This Row],[收藏]]+tblContentMetrics[[#This Row],[分享]]+tblContentMetrics[[#This Row],[留言]]+tblContentMetrics[[#This Row],[私訊]]) / tblContentMetrics[[#This Row],[觀看]],"")</f>
        <v/>
      </c>
      <c r="R97" s="4" t="str">
        <f>IFERROR(tblContentMetrics[[#This Row],[LINE新增]]/tblContentMetrics[[#This Row],[觀看]],"")</f>
        <v/>
      </c>
      <c r="S97" s="4" t="str">
        <f>IFERROR(tblContentMetrics[[#This Row],[預約]]/tblContentMetrics[[#This Row],[LINE新增]],"")</f>
        <v/>
      </c>
      <c r="T97" s="4" t="str">
        <f>IFERROR(tblContentMetrics[[#This Row],[訂單]]/tblContentMetrics[[#This Row],[LINE新增]],"")</f>
        <v/>
      </c>
    </row>
    <row r="98" spans="17:20" ht="19.95" customHeight="1">
      <c r="Q98" s="4" t="str">
        <f>IFERROR((tblContentMetrics[[#This Row],[收藏]]+tblContentMetrics[[#This Row],[分享]]+tblContentMetrics[[#This Row],[留言]]+tblContentMetrics[[#This Row],[私訊]]) / tblContentMetrics[[#This Row],[觀看]],"")</f>
        <v/>
      </c>
      <c r="R98" s="4" t="str">
        <f>IFERROR(tblContentMetrics[[#This Row],[LINE新增]]/tblContentMetrics[[#This Row],[觀看]],"")</f>
        <v/>
      </c>
      <c r="S98" s="4" t="str">
        <f>IFERROR(tblContentMetrics[[#This Row],[預約]]/tblContentMetrics[[#This Row],[LINE新增]],"")</f>
        <v/>
      </c>
      <c r="T98" s="4" t="str">
        <f>IFERROR(tblContentMetrics[[#This Row],[訂單]]/tblContentMetrics[[#This Row],[LINE新增]],"")</f>
        <v/>
      </c>
    </row>
    <row r="99" spans="17:20" ht="19.95" customHeight="1">
      <c r="Q99" s="4" t="str">
        <f>IFERROR((tblContentMetrics[[#This Row],[收藏]]+tblContentMetrics[[#This Row],[分享]]+tblContentMetrics[[#This Row],[留言]]+tblContentMetrics[[#This Row],[私訊]]) / tblContentMetrics[[#This Row],[觀看]],"")</f>
        <v/>
      </c>
      <c r="R99" s="4" t="str">
        <f>IFERROR(tblContentMetrics[[#This Row],[LINE新增]]/tblContentMetrics[[#This Row],[觀看]],"")</f>
        <v/>
      </c>
      <c r="S99" s="4" t="str">
        <f>IFERROR(tblContentMetrics[[#This Row],[預約]]/tblContentMetrics[[#This Row],[LINE新增]],"")</f>
        <v/>
      </c>
      <c r="T99" s="4" t="str">
        <f>IFERROR(tblContentMetrics[[#This Row],[訂單]]/tblContentMetrics[[#This Row],[LINE新增]],"")</f>
        <v/>
      </c>
    </row>
    <row r="100" spans="17:20" ht="19.95" customHeight="1">
      <c r="Q100" s="4" t="str">
        <f>IFERROR((tblContentMetrics[[#This Row],[收藏]]+tblContentMetrics[[#This Row],[分享]]+tblContentMetrics[[#This Row],[留言]]+tblContentMetrics[[#This Row],[私訊]]) / tblContentMetrics[[#This Row],[觀看]],"")</f>
        <v/>
      </c>
      <c r="R100" s="4" t="str">
        <f>IFERROR(tblContentMetrics[[#This Row],[LINE新增]]/tblContentMetrics[[#This Row],[觀看]],"")</f>
        <v/>
      </c>
      <c r="S100" s="4" t="str">
        <f>IFERROR(tblContentMetrics[[#This Row],[預約]]/tblContentMetrics[[#This Row],[LINE新增]],"")</f>
        <v/>
      </c>
      <c r="T100" s="4" t="str">
        <f>IFERROR(tblContentMetrics[[#This Row],[訂單]]/tblContentMetrics[[#This Row],[LINE新增]],"")</f>
        <v/>
      </c>
    </row>
    <row r="101" spans="17:20" ht="19.95" customHeight="1">
      <c r="Q101" s="4" t="str">
        <f>IFERROR((tblContentMetrics[[#This Row],[收藏]]+tblContentMetrics[[#This Row],[分享]]+tblContentMetrics[[#This Row],[留言]]+tblContentMetrics[[#This Row],[私訊]]) / tblContentMetrics[[#This Row],[觀看]],"")</f>
        <v/>
      </c>
      <c r="R101" s="4" t="str">
        <f>IFERROR(tblContentMetrics[[#This Row],[LINE新增]]/tblContentMetrics[[#This Row],[觀看]],"")</f>
        <v/>
      </c>
      <c r="S101" s="4" t="str">
        <f>IFERROR(tblContentMetrics[[#This Row],[預約]]/tblContentMetrics[[#This Row],[LINE新增]],"")</f>
        <v/>
      </c>
      <c r="T101" s="4" t="str">
        <f>IFERROR(tblContentMetrics[[#This Row],[訂單]]/tblContentMetrics[[#This Row],[LINE新增]],"")</f>
        <v/>
      </c>
    </row>
    <row r="102" spans="17:20" ht="19.95" customHeight="1">
      <c r="Q102" s="4" t="str">
        <f>IFERROR((tblContentMetrics[[#This Row],[收藏]]+tblContentMetrics[[#This Row],[分享]]+tblContentMetrics[[#This Row],[留言]]+tblContentMetrics[[#This Row],[私訊]]) / tblContentMetrics[[#This Row],[觀看]],"")</f>
        <v/>
      </c>
      <c r="R102" s="4" t="str">
        <f>IFERROR(tblContentMetrics[[#This Row],[LINE新增]]/tblContentMetrics[[#This Row],[觀看]],"")</f>
        <v/>
      </c>
      <c r="S102" s="4" t="str">
        <f>IFERROR(tblContentMetrics[[#This Row],[預約]]/tblContentMetrics[[#This Row],[LINE新增]],"")</f>
        <v/>
      </c>
      <c r="T102" s="4" t="str">
        <f>IFERROR(tblContentMetrics[[#This Row],[訂單]]/tblContentMetrics[[#This Row],[LINE新增]],"")</f>
        <v/>
      </c>
    </row>
    <row r="103" spans="17:20" ht="19.95" customHeight="1">
      <c r="Q103" s="4" t="str">
        <f>IFERROR((tblContentMetrics[[#This Row],[收藏]]+tblContentMetrics[[#This Row],[分享]]+tblContentMetrics[[#This Row],[留言]]+tblContentMetrics[[#This Row],[私訊]]) / tblContentMetrics[[#This Row],[觀看]],"")</f>
        <v/>
      </c>
      <c r="R103" s="4" t="str">
        <f>IFERROR(tblContentMetrics[[#This Row],[LINE新增]]/tblContentMetrics[[#This Row],[觀看]],"")</f>
        <v/>
      </c>
      <c r="S103" s="4" t="str">
        <f>IFERROR(tblContentMetrics[[#This Row],[預約]]/tblContentMetrics[[#This Row],[LINE新增]],"")</f>
        <v/>
      </c>
      <c r="T103" s="4" t="str">
        <f>IFERROR(tblContentMetrics[[#This Row],[訂單]]/tblContentMetrics[[#This Row],[LINE新增]],"")</f>
        <v/>
      </c>
    </row>
    <row r="104" spans="17:20" ht="19.95" customHeight="1">
      <c r="Q104" s="4" t="str">
        <f>IFERROR((tblContentMetrics[[#This Row],[收藏]]+tblContentMetrics[[#This Row],[分享]]+tblContentMetrics[[#This Row],[留言]]+tblContentMetrics[[#This Row],[私訊]]) / tblContentMetrics[[#This Row],[觀看]],"")</f>
        <v/>
      </c>
      <c r="R104" s="4" t="str">
        <f>IFERROR(tblContentMetrics[[#This Row],[LINE新增]]/tblContentMetrics[[#This Row],[觀看]],"")</f>
        <v/>
      </c>
      <c r="S104" s="4" t="str">
        <f>IFERROR(tblContentMetrics[[#This Row],[預約]]/tblContentMetrics[[#This Row],[LINE新增]],"")</f>
        <v/>
      </c>
      <c r="T104" s="4" t="str">
        <f>IFERROR(tblContentMetrics[[#This Row],[訂單]]/tblContentMetrics[[#This Row],[LINE新增]],"")</f>
        <v/>
      </c>
    </row>
    <row r="105" spans="17:20" ht="19.95" customHeight="1">
      <c r="Q105" s="4" t="str">
        <f>IFERROR((tblContentMetrics[[#This Row],[收藏]]+tblContentMetrics[[#This Row],[分享]]+tblContentMetrics[[#This Row],[留言]]+tblContentMetrics[[#This Row],[私訊]]) / tblContentMetrics[[#This Row],[觀看]],"")</f>
        <v/>
      </c>
      <c r="R105" s="4" t="str">
        <f>IFERROR(tblContentMetrics[[#This Row],[LINE新增]]/tblContentMetrics[[#This Row],[觀看]],"")</f>
        <v/>
      </c>
      <c r="S105" s="4" t="str">
        <f>IFERROR(tblContentMetrics[[#This Row],[預約]]/tblContentMetrics[[#This Row],[LINE新增]],"")</f>
        <v/>
      </c>
      <c r="T105" s="4" t="str">
        <f>IFERROR(tblContentMetrics[[#This Row],[訂單]]/tblContentMetrics[[#This Row],[LINE新增]],"")</f>
        <v/>
      </c>
    </row>
    <row r="106" spans="17:20" ht="19.95" customHeight="1">
      <c r="Q106" s="4" t="str">
        <f>IFERROR((tblContentMetrics[[#This Row],[收藏]]+tblContentMetrics[[#This Row],[分享]]+tblContentMetrics[[#This Row],[留言]]+tblContentMetrics[[#This Row],[私訊]]) / tblContentMetrics[[#This Row],[觀看]],"")</f>
        <v/>
      </c>
      <c r="R106" s="4" t="str">
        <f>IFERROR(tblContentMetrics[[#This Row],[LINE新增]]/tblContentMetrics[[#This Row],[觀看]],"")</f>
        <v/>
      </c>
      <c r="S106" s="4" t="str">
        <f>IFERROR(tblContentMetrics[[#This Row],[預約]]/tblContentMetrics[[#This Row],[LINE新增]],"")</f>
        <v/>
      </c>
      <c r="T106" s="4" t="str">
        <f>IFERROR(tblContentMetrics[[#This Row],[訂單]]/tblContentMetrics[[#This Row],[LINE新增]],"")</f>
        <v/>
      </c>
    </row>
    <row r="107" spans="17:20" ht="19.95" customHeight="1">
      <c r="Q107" s="4" t="str">
        <f>IFERROR((tblContentMetrics[[#This Row],[收藏]]+tblContentMetrics[[#This Row],[分享]]+tblContentMetrics[[#This Row],[留言]]+tblContentMetrics[[#This Row],[私訊]]) / tblContentMetrics[[#This Row],[觀看]],"")</f>
        <v/>
      </c>
      <c r="R107" s="4" t="str">
        <f>IFERROR(tblContentMetrics[[#This Row],[LINE新增]]/tblContentMetrics[[#This Row],[觀看]],"")</f>
        <v/>
      </c>
      <c r="S107" s="4" t="str">
        <f>IFERROR(tblContentMetrics[[#This Row],[預約]]/tblContentMetrics[[#This Row],[LINE新增]],"")</f>
        <v/>
      </c>
      <c r="T107" s="4" t="str">
        <f>IFERROR(tblContentMetrics[[#This Row],[訂單]]/tblContentMetrics[[#This Row],[LINE新增]],"")</f>
        <v/>
      </c>
    </row>
    <row r="108" spans="17:20" ht="19.95" customHeight="1">
      <c r="Q108" s="4" t="str">
        <f>IFERROR((tblContentMetrics[[#This Row],[收藏]]+tblContentMetrics[[#This Row],[分享]]+tblContentMetrics[[#This Row],[留言]]+tblContentMetrics[[#This Row],[私訊]]) / tblContentMetrics[[#This Row],[觀看]],"")</f>
        <v/>
      </c>
      <c r="R108" s="4" t="str">
        <f>IFERROR(tblContentMetrics[[#This Row],[LINE新增]]/tblContentMetrics[[#This Row],[觀看]],"")</f>
        <v/>
      </c>
      <c r="S108" s="4" t="str">
        <f>IFERROR(tblContentMetrics[[#This Row],[預約]]/tblContentMetrics[[#This Row],[LINE新增]],"")</f>
        <v/>
      </c>
      <c r="T108" s="4" t="str">
        <f>IFERROR(tblContentMetrics[[#This Row],[訂單]]/tblContentMetrics[[#This Row],[LINE新增]],"")</f>
        <v/>
      </c>
    </row>
    <row r="109" spans="17:20" ht="19.95" customHeight="1">
      <c r="Q109" s="4" t="str">
        <f>IFERROR((tblContentMetrics[[#This Row],[收藏]]+tblContentMetrics[[#This Row],[分享]]+tblContentMetrics[[#This Row],[留言]]+tblContentMetrics[[#This Row],[私訊]]) / tblContentMetrics[[#This Row],[觀看]],"")</f>
        <v/>
      </c>
      <c r="R109" s="4" t="str">
        <f>IFERROR(tblContentMetrics[[#This Row],[LINE新增]]/tblContentMetrics[[#This Row],[觀看]],"")</f>
        <v/>
      </c>
      <c r="S109" s="4" t="str">
        <f>IFERROR(tblContentMetrics[[#This Row],[預約]]/tblContentMetrics[[#This Row],[LINE新增]],"")</f>
        <v/>
      </c>
      <c r="T109" s="4" t="str">
        <f>IFERROR(tblContentMetrics[[#This Row],[訂單]]/tblContentMetrics[[#This Row],[LINE新增]],"")</f>
        <v/>
      </c>
    </row>
    <row r="110" spans="17:20" ht="19.95" customHeight="1">
      <c r="Q110" s="4" t="str">
        <f>IFERROR((tblContentMetrics[[#This Row],[收藏]]+tblContentMetrics[[#This Row],[分享]]+tblContentMetrics[[#This Row],[留言]]+tblContentMetrics[[#This Row],[私訊]]) / tblContentMetrics[[#This Row],[觀看]],"")</f>
        <v/>
      </c>
      <c r="R110" s="4" t="str">
        <f>IFERROR(tblContentMetrics[[#This Row],[LINE新增]]/tblContentMetrics[[#This Row],[觀看]],"")</f>
        <v/>
      </c>
      <c r="S110" s="4" t="str">
        <f>IFERROR(tblContentMetrics[[#This Row],[預約]]/tblContentMetrics[[#This Row],[LINE新增]],"")</f>
        <v/>
      </c>
      <c r="T110" s="4" t="str">
        <f>IFERROR(tblContentMetrics[[#This Row],[訂單]]/tblContentMetrics[[#This Row],[LINE新增]],"")</f>
        <v/>
      </c>
    </row>
    <row r="111" spans="17:20" ht="19.95" customHeight="1">
      <c r="Q111" s="4" t="str">
        <f>IFERROR((tblContentMetrics[[#This Row],[收藏]]+tblContentMetrics[[#This Row],[分享]]+tblContentMetrics[[#This Row],[留言]]+tblContentMetrics[[#This Row],[私訊]]) / tblContentMetrics[[#This Row],[觀看]],"")</f>
        <v/>
      </c>
      <c r="R111" s="4" t="str">
        <f>IFERROR(tblContentMetrics[[#This Row],[LINE新增]]/tblContentMetrics[[#This Row],[觀看]],"")</f>
        <v/>
      </c>
      <c r="S111" s="4" t="str">
        <f>IFERROR(tblContentMetrics[[#This Row],[預約]]/tblContentMetrics[[#This Row],[LINE新增]],"")</f>
        <v/>
      </c>
      <c r="T111" s="4" t="str">
        <f>IFERROR(tblContentMetrics[[#This Row],[訂單]]/tblContentMetrics[[#This Row],[LINE新增]],"")</f>
        <v/>
      </c>
    </row>
    <row r="112" spans="17:20" ht="19.95" customHeight="1">
      <c r="Q112" s="4" t="str">
        <f>IFERROR((tblContentMetrics[[#This Row],[收藏]]+tblContentMetrics[[#This Row],[分享]]+tblContentMetrics[[#This Row],[留言]]+tblContentMetrics[[#This Row],[私訊]]) / tblContentMetrics[[#This Row],[觀看]],"")</f>
        <v/>
      </c>
      <c r="R112" s="4" t="str">
        <f>IFERROR(tblContentMetrics[[#This Row],[LINE新增]]/tblContentMetrics[[#This Row],[觀看]],"")</f>
        <v/>
      </c>
      <c r="S112" s="4" t="str">
        <f>IFERROR(tblContentMetrics[[#This Row],[預約]]/tblContentMetrics[[#This Row],[LINE新增]],"")</f>
        <v/>
      </c>
      <c r="T112" s="4" t="str">
        <f>IFERROR(tblContentMetrics[[#This Row],[訂單]]/tblContentMetrics[[#This Row],[LINE新增]],"")</f>
        <v/>
      </c>
    </row>
    <row r="113" spans="17:20" ht="19.95" customHeight="1">
      <c r="Q113" s="4" t="str">
        <f>IFERROR((tblContentMetrics[[#This Row],[收藏]]+tblContentMetrics[[#This Row],[分享]]+tblContentMetrics[[#This Row],[留言]]+tblContentMetrics[[#This Row],[私訊]]) / tblContentMetrics[[#This Row],[觀看]],"")</f>
        <v/>
      </c>
      <c r="R113" s="4" t="str">
        <f>IFERROR(tblContentMetrics[[#This Row],[LINE新增]]/tblContentMetrics[[#This Row],[觀看]],"")</f>
        <v/>
      </c>
      <c r="S113" s="4" t="str">
        <f>IFERROR(tblContentMetrics[[#This Row],[預約]]/tblContentMetrics[[#This Row],[LINE新增]],"")</f>
        <v/>
      </c>
      <c r="T113" s="4" t="str">
        <f>IFERROR(tblContentMetrics[[#This Row],[訂單]]/tblContentMetrics[[#This Row],[LINE新增]],"")</f>
        <v/>
      </c>
    </row>
    <row r="114" spans="17:20" ht="19.95" customHeight="1">
      <c r="Q114" s="4" t="str">
        <f>IFERROR((tblContentMetrics[[#This Row],[收藏]]+tblContentMetrics[[#This Row],[分享]]+tblContentMetrics[[#This Row],[留言]]+tblContentMetrics[[#This Row],[私訊]]) / tblContentMetrics[[#This Row],[觀看]],"")</f>
        <v/>
      </c>
      <c r="R114" s="4" t="str">
        <f>IFERROR(tblContentMetrics[[#This Row],[LINE新增]]/tblContentMetrics[[#This Row],[觀看]],"")</f>
        <v/>
      </c>
      <c r="S114" s="4" t="str">
        <f>IFERROR(tblContentMetrics[[#This Row],[預約]]/tblContentMetrics[[#This Row],[LINE新增]],"")</f>
        <v/>
      </c>
      <c r="T114" s="4" t="str">
        <f>IFERROR(tblContentMetrics[[#This Row],[訂單]]/tblContentMetrics[[#This Row],[LINE新增]],"")</f>
        <v/>
      </c>
    </row>
    <row r="115" spans="17:20" ht="19.95" customHeight="1">
      <c r="Q115" s="4" t="str">
        <f>IFERROR((tblContentMetrics[[#This Row],[收藏]]+tblContentMetrics[[#This Row],[分享]]+tblContentMetrics[[#This Row],[留言]]+tblContentMetrics[[#This Row],[私訊]]) / tblContentMetrics[[#This Row],[觀看]],"")</f>
        <v/>
      </c>
      <c r="R115" s="4" t="str">
        <f>IFERROR(tblContentMetrics[[#This Row],[LINE新增]]/tblContentMetrics[[#This Row],[觀看]],"")</f>
        <v/>
      </c>
      <c r="S115" s="4" t="str">
        <f>IFERROR(tblContentMetrics[[#This Row],[預約]]/tblContentMetrics[[#This Row],[LINE新增]],"")</f>
        <v/>
      </c>
      <c r="T115" s="4" t="str">
        <f>IFERROR(tblContentMetrics[[#This Row],[訂單]]/tblContentMetrics[[#This Row],[LINE新增]],"")</f>
        <v/>
      </c>
    </row>
    <row r="116" spans="17:20" ht="19.95" customHeight="1">
      <c r="Q116" s="4" t="str">
        <f>IFERROR((tblContentMetrics[[#This Row],[收藏]]+tblContentMetrics[[#This Row],[分享]]+tblContentMetrics[[#This Row],[留言]]+tblContentMetrics[[#This Row],[私訊]]) / tblContentMetrics[[#This Row],[觀看]],"")</f>
        <v/>
      </c>
      <c r="R116" s="4" t="str">
        <f>IFERROR(tblContentMetrics[[#This Row],[LINE新增]]/tblContentMetrics[[#This Row],[觀看]],"")</f>
        <v/>
      </c>
      <c r="S116" s="4" t="str">
        <f>IFERROR(tblContentMetrics[[#This Row],[預約]]/tblContentMetrics[[#This Row],[LINE新增]],"")</f>
        <v/>
      </c>
      <c r="T116" s="4" t="str">
        <f>IFERROR(tblContentMetrics[[#This Row],[訂單]]/tblContentMetrics[[#This Row],[LINE新增]],"")</f>
        <v/>
      </c>
    </row>
    <row r="117" spans="17:20" ht="19.95" customHeight="1">
      <c r="Q117" s="4" t="str">
        <f>IFERROR((tblContentMetrics[[#This Row],[收藏]]+tblContentMetrics[[#This Row],[分享]]+tblContentMetrics[[#This Row],[留言]]+tblContentMetrics[[#This Row],[私訊]]) / tblContentMetrics[[#This Row],[觀看]],"")</f>
        <v/>
      </c>
      <c r="R117" s="4" t="str">
        <f>IFERROR(tblContentMetrics[[#This Row],[LINE新增]]/tblContentMetrics[[#This Row],[觀看]],"")</f>
        <v/>
      </c>
      <c r="S117" s="4" t="str">
        <f>IFERROR(tblContentMetrics[[#This Row],[預約]]/tblContentMetrics[[#This Row],[LINE新增]],"")</f>
        <v/>
      </c>
      <c r="T117" s="4" t="str">
        <f>IFERROR(tblContentMetrics[[#This Row],[訂單]]/tblContentMetrics[[#This Row],[LINE新增]],"")</f>
        <v/>
      </c>
    </row>
    <row r="118" spans="17:20" ht="19.95" customHeight="1">
      <c r="Q118" s="4" t="str">
        <f>IFERROR((tblContentMetrics[[#This Row],[收藏]]+tblContentMetrics[[#This Row],[分享]]+tblContentMetrics[[#This Row],[留言]]+tblContentMetrics[[#This Row],[私訊]]) / tblContentMetrics[[#This Row],[觀看]],"")</f>
        <v/>
      </c>
      <c r="R118" s="4" t="str">
        <f>IFERROR(tblContentMetrics[[#This Row],[LINE新增]]/tblContentMetrics[[#This Row],[觀看]],"")</f>
        <v/>
      </c>
      <c r="S118" s="4" t="str">
        <f>IFERROR(tblContentMetrics[[#This Row],[預約]]/tblContentMetrics[[#This Row],[LINE新增]],"")</f>
        <v/>
      </c>
      <c r="T118" s="4" t="str">
        <f>IFERROR(tblContentMetrics[[#This Row],[訂單]]/tblContentMetrics[[#This Row],[LINE新增]],"")</f>
        <v/>
      </c>
    </row>
    <row r="119" spans="17:20" ht="19.95" customHeight="1">
      <c r="Q119" s="4" t="str">
        <f>IFERROR((tblContentMetrics[[#This Row],[收藏]]+tblContentMetrics[[#This Row],[分享]]+tblContentMetrics[[#This Row],[留言]]+tblContentMetrics[[#This Row],[私訊]]) / tblContentMetrics[[#This Row],[觀看]],"")</f>
        <v/>
      </c>
      <c r="R119" s="4" t="str">
        <f>IFERROR(tblContentMetrics[[#This Row],[LINE新增]]/tblContentMetrics[[#This Row],[觀看]],"")</f>
        <v/>
      </c>
      <c r="S119" s="4" t="str">
        <f>IFERROR(tblContentMetrics[[#This Row],[預約]]/tblContentMetrics[[#This Row],[LINE新增]],"")</f>
        <v/>
      </c>
      <c r="T119" s="4" t="str">
        <f>IFERROR(tblContentMetrics[[#This Row],[訂單]]/tblContentMetrics[[#This Row],[LINE新增]],"")</f>
        <v/>
      </c>
    </row>
    <row r="120" spans="17:20" ht="19.95" customHeight="1">
      <c r="Q120" s="4" t="str">
        <f>IFERROR((tblContentMetrics[[#This Row],[收藏]]+tblContentMetrics[[#This Row],[分享]]+tblContentMetrics[[#This Row],[留言]]+tblContentMetrics[[#This Row],[私訊]]) / tblContentMetrics[[#This Row],[觀看]],"")</f>
        <v/>
      </c>
      <c r="R120" s="4" t="str">
        <f>IFERROR(tblContentMetrics[[#This Row],[LINE新增]]/tblContentMetrics[[#This Row],[觀看]],"")</f>
        <v/>
      </c>
      <c r="S120" s="4" t="str">
        <f>IFERROR(tblContentMetrics[[#This Row],[預約]]/tblContentMetrics[[#This Row],[LINE新增]],"")</f>
        <v/>
      </c>
      <c r="T120" s="4" t="str">
        <f>IFERROR(tblContentMetrics[[#This Row],[訂單]]/tblContentMetrics[[#This Row],[LINE新增]],"")</f>
        <v/>
      </c>
    </row>
    <row r="121" spans="17:20" ht="19.95" customHeight="1">
      <c r="Q121" s="4" t="str">
        <f>IFERROR((tblContentMetrics[[#This Row],[收藏]]+tblContentMetrics[[#This Row],[分享]]+tblContentMetrics[[#This Row],[留言]]+tblContentMetrics[[#This Row],[私訊]]) / tblContentMetrics[[#This Row],[觀看]],"")</f>
        <v/>
      </c>
      <c r="R121" s="4" t="str">
        <f>IFERROR(tblContentMetrics[[#This Row],[LINE新增]]/tblContentMetrics[[#This Row],[觀看]],"")</f>
        <v/>
      </c>
      <c r="S121" s="4" t="str">
        <f>IFERROR(tblContentMetrics[[#This Row],[預約]]/tblContentMetrics[[#This Row],[LINE新增]],"")</f>
        <v/>
      </c>
      <c r="T121" s="4" t="str">
        <f>IFERROR(tblContentMetrics[[#This Row],[訂單]]/tblContentMetrics[[#This Row],[LINE新增]],"")</f>
        <v/>
      </c>
    </row>
    <row r="122" spans="17:20" ht="19.95" customHeight="1">
      <c r="Q122" s="4" t="str">
        <f>IFERROR((tblContentMetrics[[#This Row],[收藏]]+tblContentMetrics[[#This Row],[分享]]+tblContentMetrics[[#This Row],[留言]]+tblContentMetrics[[#This Row],[私訊]]) / tblContentMetrics[[#This Row],[觀看]],"")</f>
        <v/>
      </c>
      <c r="R122" s="4" t="str">
        <f>IFERROR(tblContentMetrics[[#This Row],[LINE新增]]/tblContentMetrics[[#This Row],[觀看]],"")</f>
        <v/>
      </c>
      <c r="S122" s="4" t="str">
        <f>IFERROR(tblContentMetrics[[#This Row],[預約]]/tblContentMetrics[[#This Row],[LINE新增]],"")</f>
        <v/>
      </c>
      <c r="T122" s="4" t="str">
        <f>IFERROR(tblContentMetrics[[#This Row],[訂單]]/tblContentMetrics[[#This Row],[LINE新增]],"")</f>
        <v/>
      </c>
    </row>
    <row r="123" spans="17:20" ht="19.95" customHeight="1">
      <c r="Q123" s="4" t="str">
        <f>IFERROR((tblContentMetrics[[#This Row],[收藏]]+tblContentMetrics[[#This Row],[分享]]+tblContentMetrics[[#This Row],[留言]]+tblContentMetrics[[#This Row],[私訊]]) / tblContentMetrics[[#This Row],[觀看]],"")</f>
        <v/>
      </c>
      <c r="R123" s="4" t="str">
        <f>IFERROR(tblContentMetrics[[#This Row],[LINE新增]]/tblContentMetrics[[#This Row],[觀看]],"")</f>
        <v/>
      </c>
      <c r="S123" s="4" t="str">
        <f>IFERROR(tblContentMetrics[[#This Row],[預約]]/tblContentMetrics[[#This Row],[LINE新增]],"")</f>
        <v/>
      </c>
      <c r="T123" s="4" t="str">
        <f>IFERROR(tblContentMetrics[[#This Row],[訂單]]/tblContentMetrics[[#This Row],[LINE新增]],"")</f>
        <v/>
      </c>
    </row>
    <row r="124" spans="17:20" ht="19.95" customHeight="1">
      <c r="Q124" s="4" t="str">
        <f>IFERROR((tblContentMetrics[[#This Row],[收藏]]+tblContentMetrics[[#This Row],[分享]]+tblContentMetrics[[#This Row],[留言]]+tblContentMetrics[[#This Row],[私訊]]) / tblContentMetrics[[#This Row],[觀看]],"")</f>
        <v/>
      </c>
      <c r="R124" s="4" t="str">
        <f>IFERROR(tblContentMetrics[[#This Row],[LINE新增]]/tblContentMetrics[[#This Row],[觀看]],"")</f>
        <v/>
      </c>
      <c r="S124" s="4" t="str">
        <f>IFERROR(tblContentMetrics[[#This Row],[預約]]/tblContentMetrics[[#This Row],[LINE新增]],"")</f>
        <v/>
      </c>
      <c r="T124" s="4" t="str">
        <f>IFERROR(tblContentMetrics[[#This Row],[訂單]]/tblContentMetrics[[#This Row],[LINE新增]],"")</f>
        <v/>
      </c>
    </row>
    <row r="125" spans="17:20" ht="19.95" customHeight="1">
      <c r="Q125" s="4" t="str">
        <f>IFERROR((tblContentMetrics[[#This Row],[收藏]]+tblContentMetrics[[#This Row],[分享]]+tblContentMetrics[[#This Row],[留言]]+tblContentMetrics[[#This Row],[私訊]]) / tblContentMetrics[[#This Row],[觀看]],"")</f>
        <v/>
      </c>
      <c r="R125" s="4" t="str">
        <f>IFERROR(tblContentMetrics[[#This Row],[LINE新增]]/tblContentMetrics[[#This Row],[觀看]],"")</f>
        <v/>
      </c>
      <c r="S125" s="4" t="str">
        <f>IFERROR(tblContentMetrics[[#This Row],[預約]]/tblContentMetrics[[#This Row],[LINE新增]],"")</f>
        <v/>
      </c>
      <c r="T125" s="4" t="str">
        <f>IFERROR(tblContentMetrics[[#This Row],[訂單]]/tblContentMetrics[[#This Row],[LINE新增]],"")</f>
        <v/>
      </c>
    </row>
    <row r="126" spans="17:20" ht="19.95" customHeight="1">
      <c r="Q126" s="4" t="str">
        <f>IFERROR((tblContentMetrics[[#This Row],[收藏]]+tblContentMetrics[[#This Row],[分享]]+tblContentMetrics[[#This Row],[留言]]+tblContentMetrics[[#This Row],[私訊]]) / tblContentMetrics[[#This Row],[觀看]],"")</f>
        <v/>
      </c>
      <c r="R126" s="4" t="str">
        <f>IFERROR(tblContentMetrics[[#This Row],[LINE新增]]/tblContentMetrics[[#This Row],[觀看]],"")</f>
        <v/>
      </c>
      <c r="S126" s="4" t="str">
        <f>IFERROR(tblContentMetrics[[#This Row],[預約]]/tblContentMetrics[[#This Row],[LINE新增]],"")</f>
        <v/>
      </c>
      <c r="T126" s="4" t="str">
        <f>IFERROR(tblContentMetrics[[#This Row],[訂單]]/tblContentMetrics[[#This Row],[LINE新增]],"")</f>
        <v/>
      </c>
    </row>
    <row r="127" spans="17:20" ht="19.95" customHeight="1">
      <c r="Q127" s="4" t="str">
        <f>IFERROR((tblContentMetrics[[#This Row],[收藏]]+tblContentMetrics[[#This Row],[分享]]+tblContentMetrics[[#This Row],[留言]]+tblContentMetrics[[#This Row],[私訊]]) / tblContentMetrics[[#This Row],[觀看]],"")</f>
        <v/>
      </c>
      <c r="R127" s="4" t="str">
        <f>IFERROR(tblContentMetrics[[#This Row],[LINE新增]]/tblContentMetrics[[#This Row],[觀看]],"")</f>
        <v/>
      </c>
      <c r="S127" s="4" t="str">
        <f>IFERROR(tblContentMetrics[[#This Row],[預約]]/tblContentMetrics[[#This Row],[LINE新增]],"")</f>
        <v/>
      </c>
      <c r="T127" s="4" t="str">
        <f>IFERROR(tblContentMetrics[[#This Row],[訂單]]/tblContentMetrics[[#This Row],[LINE新增]],"")</f>
        <v/>
      </c>
    </row>
    <row r="128" spans="17:20" ht="19.95" customHeight="1">
      <c r="Q128" s="4" t="str">
        <f>IFERROR((tblContentMetrics[[#This Row],[收藏]]+tblContentMetrics[[#This Row],[分享]]+tblContentMetrics[[#This Row],[留言]]+tblContentMetrics[[#This Row],[私訊]]) / tblContentMetrics[[#This Row],[觀看]],"")</f>
        <v/>
      </c>
      <c r="R128" s="4" t="str">
        <f>IFERROR(tblContentMetrics[[#This Row],[LINE新增]]/tblContentMetrics[[#This Row],[觀看]],"")</f>
        <v/>
      </c>
      <c r="S128" s="4" t="str">
        <f>IFERROR(tblContentMetrics[[#This Row],[預約]]/tblContentMetrics[[#This Row],[LINE新增]],"")</f>
        <v/>
      </c>
      <c r="T128" s="4" t="str">
        <f>IFERROR(tblContentMetrics[[#This Row],[訂單]]/tblContentMetrics[[#This Row],[LINE新增]],"")</f>
        <v/>
      </c>
    </row>
    <row r="129" spans="17:20" ht="19.95" customHeight="1">
      <c r="Q129" s="4" t="str">
        <f>IFERROR((tblContentMetrics[[#This Row],[收藏]]+tblContentMetrics[[#This Row],[分享]]+tblContentMetrics[[#This Row],[留言]]+tblContentMetrics[[#This Row],[私訊]]) / tblContentMetrics[[#This Row],[觀看]],"")</f>
        <v/>
      </c>
      <c r="R129" s="4" t="str">
        <f>IFERROR(tblContentMetrics[[#This Row],[LINE新增]]/tblContentMetrics[[#This Row],[觀看]],"")</f>
        <v/>
      </c>
      <c r="S129" s="4" t="str">
        <f>IFERROR(tblContentMetrics[[#This Row],[預約]]/tblContentMetrics[[#This Row],[LINE新增]],"")</f>
        <v/>
      </c>
      <c r="T129" s="4" t="str">
        <f>IFERROR(tblContentMetrics[[#This Row],[訂單]]/tblContentMetrics[[#This Row],[LINE新增]],"")</f>
        <v/>
      </c>
    </row>
    <row r="130" spans="17:20" ht="19.95" customHeight="1">
      <c r="Q130" s="4" t="str">
        <f>IFERROR((tblContentMetrics[[#This Row],[收藏]]+tblContentMetrics[[#This Row],[分享]]+tblContentMetrics[[#This Row],[留言]]+tblContentMetrics[[#This Row],[私訊]]) / tblContentMetrics[[#This Row],[觀看]],"")</f>
        <v/>
      </c>
      <c r="R130" s="4" t="str">
        <f>IFERROR(tblContentMetrics[[#This Row],[LINE新增]]/tblContentMetrics[[#This Row],[觀看]],"")</f>
        <v/>
      </c>
      <c r="S130" s="4" t="str">
        <f>IFERROR(tblContentMetrics[[#This Row],[預約]]/tblContentMetrics[[#This Row],[LINE新增]],"")</f>
        <v/>
      </c>
      <c r="T130" s="4" t="str">
        <f>IFERROR(tblContentMetrics[[#This Row],[訂單]]/tblContentMetrics[[#This Row],[LINE新增]],"")</f>
        <v/>
      </c>
    </row>
    <row r="131" spans="17:20" ht="19.95" customHeight="1">
      <c r="Q131" s="4" t="str">
        <f>IFERROR((tblContentMetrics[[#This Row],[收藏]]+tblContentMetrics[[#This Row],[分享]]+tblContentMetrics[[#This Row],[留言]]+tblContentMetrics[[#This Row],[私訊]]) / tblContentMetrics[[#This Row],[觀看]],"")</f>
        <v/>
      </c>
      <c r="R131" s="4" t="str">
        <f>IFERROR(tblContentMetrics[[#This Row],[LINE新增]]/tblContentMetrics[[#This Row],[觀看]],"")</f>
        <v/>
      </c>
      <c r="S131" s="4" t="str">
        <f>IFERROR(tblContentMetrics[[#This Row],[預約]]/tblContentMetrics[[#This Row],[LINE新增]],"")</f>
        <v/>
      </c>
      <c r="T131" s="4" t="str">
        <f>IFERROR(tblContentMetrics[[#This Row],[訂單]]/tblContentMetrics[[#This Row],[LINE新增]],"")</f>
        <v/>
      </c>
    </row>
    <row r="132" spans="17:20" ht="19.95" customHeight="1">
      <c r="Q132" s="4" t="str">
        <f>IFERROR((tblContentMetrics[[#This Row],[收藏]]+tblContentMetrics[[#This Row],[分享]]+tblContentMetrics[[#This Row],[留言]]+tblContentMetrics[[#This Row],[私訊]]) / tblContentMetrics[[#This Row],[觀看]],"")</f>
        <v/>
      </c>
      <c r="R132" s="4" t="str">
        <f>IFERROR(tblContentMetrics[[#This Row],[LINE新增]]/tblContentMetrics[[#This Row],[觀看]],"")</f>
        <v/>
      </c>
      <c r="S132" s="4" t="str">
        <f>IFERROR(tblContentMetrics[[#This Row],[預約]]/tblContentMetrics[[#This Row],[LINE新增]],"")</f>
        <v/>
      </c>
      <c r="T132" s="4" t="str">
        <f>IFERROR(tblContentMetrics[[#This Row],[訂單]]/tblContentMetrics[[#This Row],[LINE新增]],"")</f>
        <v/>
      </c>
    </row>
    <row r="133" spans="17:20" ht="19.95" customHeight="1">
      <c r="Q133" s="4" t="str">
        <f>IFERROR((tblContentMetrics[[#This Row],[收藏]]+tblContentMetrics[[#This Row],[分享]]+tblContentMetrics[[#This Row],[留言]]+tblContentMetrics[[#This Row],[私訊]]) / tblContentMetrics[[#This Row],[觀看]],"")</f>
        <v/>
      </c>
      <c r="R133" s="4" t="str">
        <f>IFERROR(tblContentMetrics[[#This Row],[LINE新增]]/tblContentMetrics[[#This Row],[觀看]],"")</f>
        <v/>
      </c>
      <c r="S133" s="4" t="str">
        <f>IFERROR(tblContentMetrics[[#This Row],[預約]]/tblContentMetrics[[#This Row],[LINE新增]],"")</f>
        <v/>
      </c>
      <c r="T133" s="4" t="str">
        <f>IFERROR(tblContentMetrics[[#This Row],[訂單]]/tblContentMetrics[[#This Row],[LINE新增]],"")</f>
        <v/>
      </c>
    </row>
    <row r="134" spans="17:20" ht="19.95" customHeight="1">
      <c r="Q134" s="4" t="str">
        <f>IFERROR((tblContentMetrics[[#This Row],[收藏]]+tblContentMetrics[[#This Row],[分享]]+tblContentMetrics[[#This Row],[留言]]+tblContentMetrics[[#This Row],[私訊]]) / tblContentMetrics[[#This Row],[觀看]],"")</f>
        <v/>
      </c>
      <c r="R134" s="4" t="str">
        <f>IFERROR(tblContentMetrics[[#This Row],[LINE新增]]/tblContentMetrics[[#This Row],[觀看]],"")</f>
        <v/>
      </c>
      <c r="S134" s="4" t="str">
        <f>IFERROR(tblContentMetrics[[#This Row],[預約]]/tblContentMetrics[[#This Row],[LINE新增]],"")</f>
        <v/>
      </c>
      <c r="T134" s="4" t="str">
        <f>IFERROR(tblContentMetrics[[#This Row],[訂單]]/tblContentMetrics[[#This Row],[LINE新增]],"")</f>
        <v/>
      </c>
    </row>
    <row r="135" spans="17:20" ht="19.95" customHeight="1">
      <c r="Q135" s="4" t="str">
        <f>IFERROR((tblContentMetrics[[#This Row],[收藏]]+tblContentMetrics[[#This Row],[分享]]+tblContentMetrics[[#This Row],[留言]]+tblContentMetrics[[#This Row],[私訊]]) / tblContentMetrics[[#This Row],[觀看]],"")</f>
        <v/>
      </c>
      <c r="R135" s="4" t="str">
        <f>IFERROR(tblContentMetrics[[#This Row],[LINE新增]]/tblContentMetrics[[#This Row],[觀看]],"")</f>
        <v/>
      </c>
      <c r="S135" s="4" t="str">
        <f>IFERROR(tblContentMetrics[[#This Row],[預約]]/tblContentMetrics[[#This Row],[LINE新增]],"")</f>
        <v/>
      </c>
      <c r="T135" s="4" t="str">
        <f>IFERROR(tblContentMetrics[[#This Row],[訂單]]/tblContentMetrics[[#This Row],[LINE新增]],"")</f>
        <v/>
      </c>
    </row>
    <row r="136" spans="17:20" ht="19.95" customHeight="1">
      <c r="Q136" s="4" t="str">
        <f>IFERROR((tblContentMetrics[[#This Row],[收藏]]+tblContentMetrics[[#This Row],[分享]]+tblContentMetrics[[#This Row],[留言]]+tblContentMetrics[[#This Row],[私訊]]) / tblContentMetrics[[#This Row],[觀看]],"")</f>
        <v/>
      </c>
      <c r="R136" s="4" t="str">
        <f>IFERROR(tblContentMetrics[[#This Row],[LINE新增]]/tblContentMetrics[[#This Row],[觀看]],"")</f>
        <v/>
      </c>
      <c r="S136" s="4" t="str">
        <f>IFERROR(tblContentMetrics[[#This Row],[預約]]/tblContentMetrics[[#This Row],[LINE新增]],"")</f>
        <v/>
      </c>
      <c r="T136" s="4" t="str">
        <f>IFERROR(tblContentMetrics[[#This Row],[訂單]]/tblContentMetrics[[#This Row],[LINE新增]],"")</f>
        <v/>
      </c>
    </row>
    <row r="137" spans="17:20" ht="19.95" customHeight="1">
      <c r="Q137" s="4" t="str">
        <f>IFERROR((tblContentMetrics[[#This Row],[收藏]]+tblContentMetrics[[#This Row],[分享]]+tblContentMetrics[[#This Row],[留言]]+tblContentMetrics[[#This Row],[私訊]]) / tblContentMetrics[[#This Row],[觀看]],"")</f>
        <v/>
      </c>
      <c r="R137" s="4" t="str">
        <f>IFERROR(tblContentMetrics[[#This Row],[LINE新增]]/tblContentMetrics[[#This Row],[觀看]],"")</f>
        <v/>
      </c>
      <c r="S137" s="4" t="str">
        <f>IFERROR(tblContentMetrics[[#This Row],[預約]]/tblContentMetrics[[#This Row],[LINE新增]],"")</f>
        <v/>
      </c>
      <c r="T137" s="4" t="str">
        <f>IFERROR(tblContentMetrics[[#This Row],[訂單]]/tblContentMetrics[[#This Row],[LINE新增]],"")</f>
        <v/>
      </c>
    </row>
    <row r="138" spans="17:20" ht="19.95" customHeight="1">
      <c r="Q138" s="4" t="str">
        <f>IFERROR((tblContentMetrics[[#This Row],[收藏]]+tblContentMetrics[[#This Row],[分享]]+tblContentMetrics[[#This Row],[留言]]+tblContentMetrics[[#This Row],[私訊]]) / tblContentMetrics[[#This Row],[觀看]],"")</f>
        <v/>
      </c>
      <c r="R138" s="4" t="str">
        <f>IFERROR(tblContentMetrics[[#This Row],[LINE新增]]/tblContentMetrics[[#This Row],[觀看]],"")</f>
        <v/>
      </c>
      <c r="S138" s="4" t="str">
        <f>IFERROR(tblContentMetrics[[#This Row],[預約]]/tblContentMetrics[[#This Row],[LINE新增]],"")</f>
        <v/>
      </c>
      <c r="T138" s="4" t="str">
        <f>IFERROR(tblContentMetrics[[#This Row],[訂單]]/tblContentMetrics[[#This Row],[LINE新增]],"")</f>
        <v/>
      </c>
    </row>
    <row r="139" spans="17:20" ht="19.95" customHeight="1">
      <c r="Q139" s="4" t="str">
        <f>IFERROR((tblContentMetrics[[#This Row],[收藏]]+tblContentMetrics[[#This Row],[分享]]+tblContentMetrics[[#This Row],[留言]]+tblContentMetrics[[#This Row],[私訊]]) / tblContentMetrics[[#This Row],[觀看]],"")</f>
        <v/>
      </c>
      <c r="R139" s="4" t="str">
        <f>IFERROR(tblContentMetrics[[#This Row],[LINE新增]]/tblContentMetrics[[#This Row],[觀看]],"")</f>
        <v/>
      </c>
      <c r="S139" s="4" t="str">
        <f>IFERROR(tblContentMetrics[[#This Row],[預約]]/tblContentMetrics[[#This Row],[LINE新增]],"")</f>
        <v/>
      </c>
      <c r="T139" s="4" t="str">
        <f>IFERROR(tblContentMetrics[[#This Row],[訂單]]/tblContentMetrics[[#This Row],[LINE新增]],"")</f>
        <v/>
      </c>
    </row>
    <row r="140" spans="17:20" ht="19.95" customHeight="1">
      <c r="Q140" s="4" t="str">
        <f>IFERROR((tblContentMetrics[[#This Row],[收藏]]+tblContentMetrics[[#This Row],[分享]]+tblContentMetrics[[#This Row],[留言]]+tblContentMetrics[[#This Row],[私訊]]) / tblContentMetrics[[#This Row],[觀看]],"")</f>
        <v/>
      </c>
      <c r="R140" s="4" t="str">
        <f>IFERROR(tblContentMetrics[[#This Row],[LINE新增]]/tblContentMetrics[[#This Row],[觀看]],"")</f>
        <v/>
      </c>
      <c r="S140" s="4" t="str">
        <f>IFERROR(tblContentMetrics[[#This Row],[預約]]/tblContentMetrics[[#This Row],[LINE新增]],"")</f>
        <v/>
      </c>
      <c r="T140" s="4" t="str">
        <f>IFERROR(tblContentMetrics[[#This Row],[訂單]]/tblContentMetrics[[#This Row],[LINE新增]],"")</f>
        <v/>
      </c>
    </row>
    <row r="141" spans="17:20" ht="19.95" customHeight="1">
      <c r="Q141" s="4" t="str">
        <f>IFERROR((tblContentMetrics[[#This Row],[收藏]]+tblContentMetrics[[#This Row],[分享]]+tblContentMetrics[[#This Row],[留言]]+tblContentMetrics[[#This Row],[私訊]]) / tblContentMetrics[[#This Row],[觀看]],"")</f>
        <v/>
      </c>
      <c r="R141" s="4" t="str">
        <f>IFERROR(tblContentMetrics[[#This Row],[LINE新增]]/tblContentMetrics[[#This Row],[觀看]],"")</f>
        <v/>
      </c>
      <c r="S141" s="4" t="str">
        <f>IFERROR(tblContentMetrics[[#This Row],[預約]]/tblContentMetrics[[#This Row],[LINE新增]],"")</f>
        <v/>
      </c>
      <c r="T141" s="4" t="str">
        <f>IFERROR(tblContentMetrics[[#This Row],[訂單]]/tblContentMetrics[[#This Row],[LINE新增]],"")</f>
        <v/>
      </c>
    </row>
    <row r="142" spans="17:20" ht="19.95" customHeight="1">
      <c r="Q142" s="4" t="str">
        <f>IFERROR((tblContentMetrics[[#This Row],[收藏]]+tblContentMetrics[[#This Row],[分享]]+tblContentMetrics[[#This Row],[留言]]+tblContentMetrics[[#This Row],[私訊]]) / tblContentMetrics[[#This Row],[觀看]],"")</f>
        <v/>
      </c>
      <c r="R142" s="4" t="str">
        <f>IFERROR(tblContentMetrics[[#This Row],[LINE新增]]/tblContentMetrics[[#This Row],[觀看]],"")</f>
        <v/>
      </c>
      <c r="S142" s="4" t="str">
        <f>IFERROR(tblContentMetrics[[#This Row],[預約]]/tblContentMetrics[[#This Row],[LINE新增]],"")</f>
        <v/>
      </c>
      <c r="T142" s="4" t="str">
        <f>IFERROR(tblContentMetrics[[#This Row],[訂單]]/tblContentMetrics[[#This Row],[LINE新增]],"")</f>
        <v/>
      </c>
    </row>
    <row r="143" spans="17:20" ht="19.95" customHeight="1">
      <c r="Q143" s="4" t="str">
        <f>IFERROR((tblContentMetrics[[#This Row],[收藏]]+tblContentMetrics[[#This Row],[分享]]+tblContentMetrics[[#This Row],[留言]]+tblContentMetrics[[#This Row],[私訊]]) / tblContentMetrics[[#This Row],[觀看]],"")</f>
        <v/>
      </c>
      <c r="R143" s="4" t="str">
        <f>IFERROR(tblContentMetrics[[#This Row],[LINE新增]]/tblContentMetrics[[#This Row],[觀看]],"")</f>
        <v/>
      </c>
      <c r="S143" s="4" t="str">
        <f>IFERROR(tblContentMetrics[[#This Row],[預約]]/tblContentMetrics[[#This Row],[LINE新增]],"")</f>
        <v/>
      </c>
      <c r="T143" s="4" t="str">
        <f>IFERROR(tblContentMetrics[[#This Row],[訂單]]/tblContentMetrics[[#This Row],[LINE新增]],"")</f>
        <v/>
      </c>
    </row>
    <row r="144" spans="17:20" ht="19.95" customHeight="1">
      <c r="Q144" s="4" t="str">
        <f>IFERROR((tblContentMetrics[[#This Row],[收藏]]+tblContentMetrics[[#This Row],[分享]]+tblContentMetrics[[#This Row],[留言]]+tblContentMetrics[[#This Row],[私訊]]) / tblContentMetrics[[#This Row],[觀看]],"")</f>
        <v/>
      </c>
      <c r="R144" s="4" t="str">
        <f>IFERROR(tblContentMetrics[[#This Row],[LINE新增]]/tblContentMetrics[[#This Row],[觀看]],"")</f>
        <v/>
      </c>
      <c r="S144" s="4" t="str">
        <f>IFERROR(tblContentMetrics[[#This Row],[預約]]/tblContentMetrics[[#This Row],[LINE新增]],"")</f>
        <v/>
      </c>
      <c r="T144" s="4" t="str">
        <f>IFERROR(tblContentMetrics[[#This Row],[訂單]]/tblContentMetrics[[#This Row],[LINE新增]],"")</f>
        <v/>
      </c>
    </row>
    <row r="145" spans="17:20" ht="19.95" customHeight="1">
      <c r="Q145" s="4" t="str">
        <f>IFERROR((tblContentMetrics[[#This Row],[收藏]]+tblContentMetrics[[#This Row],[分享]]+tblContentMetrics[[#This Row],[留言]]+tblContentMetrics[[#This Row],[私訊]]) / tblContentMetrics[[#This Row],[觀看]],"")</f>
        <v/>
      </c>
      <c r="R145" s="4" t="str">
        <f>IFERROR(tblContentMetrics[[#This Row],[LINE新增]]/tblContentMetrics[[#This Row],[觀看]],"")</f>
        <v/>
      </c>
      <c r="S145" s="4" t="str">
        <f>IFERROR(tblContentMetrics[[#This Row],[預約]]/tblContentMetrics[[#This Row],[LINE新增]],"")</f>
        <v/>
      </c>
      <c r="T145" s="4" t="str">
        <f>IFERROR(tblContentMetrics[[#This Row],[訂單]]/tblContentMetrics[[#This Row],[LINE新增]],"")</f>
        <v/>
      </c>
    </row>
    <row r="146" spans="17:20" ht="19.95" customHeight="1">
      <c r="Q146" s="4" t="str">
        <f>IFERROR((tblContentMetrics[[#This Row],[收藏]]+tblContentMetrics[[#This Row],[分享]]+tblContentMetrics[[#This Row],[留言]]+tblContentMetrics[[#This Row],[私訊]]) / tblContentMetrics[[#This Row],[觀看]],"")</f>
        <v/>
      </c>
      <c r="R146" s="4" t="str">
        <f>IFERROR(tblContentMetrics[[#This Row],[LINE新增]]/tblContentMetrics[[#This Row],[觀看]],"")</f>
        <v/>
      </c>
      <c r="S146" s="4" t="str">
        <f>IFERROR(tblContentMetrics[[#This Row],[預約]]/tblContentMetrics[[#This Row],[LINE新增]],"")</f>
        <v/>
      </c>
      <c r="T146" s="4" t="str">
        <f>IFERROR(tblContentMetrics[[#This Row],[訂單]]/tblContentMetrics[[#This Row],[LINE新增]],"")</f>
        <v/>
      </c>
    </row>
    <row r="147" spans="17:20" ht="19.95" customHeight="1">
      <c r="Q147" s="4" t="str">
        <f>IFERROR((tblContentMetrics[[#This Row],[收藏]]+tblContentMetrics[[#This Row],[分享]]+tblContentMetrics[[#This Row],[留言]]+tblContentMetrics[[#This Row],[私訊]]) / tblContentMetrics[[#This Row],[觀看]],"")</f>
        <v/>
      </c>
      <c r="R147" s="4" t="str">
        <f>IFERROR(tblContentMetrics[[#This Row],[LINE新增]]/tblContentMetrics[[#This Row],[觀看]],"")</f>
        <v/>
      </c>
      <c r="S147" s="4" t="str">
        <f>IFERROR(tblContentMetrics[[#This Row],[預約]]/tblContentMetrics[[#This Row],[LINE新增]],"")</f>
        <v/>
      </c>
      <c r="T147" s="4" t="str">
        <f>IFERROR(tblContentMetrics[[#This Row],[訂單]]/tblContentMetrics[[#This Row],[LINE新增]],"")</f>
        <v/>
      </c>
    </row>
    <row r="148" spans="17:20" ht="19.95" customHeight="1">
      <c r="Q148" s="4" t="str">
        <f>IFERROR((tblContentMetrics[[#This Row],[收藏]]+tblContentMetrics[[#This Row],[分享]]+tblContentMetrics[[#This Row],[留言]]+tblContentMetrics[[#This Row],[私訊]]) / tblContentMetrics[[#This Row],[觀看]],"")</f>
        <v/>
      </c>
      <c r="R148" s="4" t="str">
        <f>IFERROR(tblContentMetrics[[#This Row],[LINE新增]]/tblContentMetrics[[#This Row],[觀看]],"")</f>
        <v/>
      </c>
      <c r="S148" s="4" t="str">
        <f>IFERROR(tblContentMetrics[[#This Row],[預約]]/tblContentMetrics[[#This Row],[LINE新增]],"")</f>
        <v/>
      </c>
      <c r="T148" s="4" t="str">
        <f>IFERROR(tblContentMetrics[[#This Row],[訂單]]/tblContentMetrics[[#This Row],[LINE新增]],"")</f>
        <v/>
      </c>
    </row>
    <row r="149" spans="17:20" ht="19.95" customHeight="1">
      <c r="Q149" s="4" t="str">
        <f>IFERROR((tblContentMetrics[[#This Row],[收藏]]+tblContentMetrics[[#This Row],[分享]]+tblContentMetrics[[#This Row],[留言]]+tblContentMetrics[[#This Row],[私訊]]) / tblContentMetrics[[#This Row],[觀看]],"")</f>
        <v/>
      </c>
      <c r="R149" s="4" t="str">
        <f>IFERROR(tblContentMetrics[[#This Row],[LINE新增]]/tblContentMetrics[[#This Row],[觀看]],"")</f>
        <v/>
      </c>
      <c r="S149" s="4" t="str">
        <f>IFERROR(tblContentMetrics[[#This Row],[預約]]/tblContentMetrics[[#This Row],[LINE新增]],"")</f>
        <v/>
      </c>
      <c r="T149" s="4" t="str">
        <f>IFERROR(tblContentMetrics[[#This Row],[訂單]]/tblContentMetrics[[#This Row],[LINE新增]],"")</f>
        <v/>
      </c>
    </row>
    <row r="150" spans="17:20" ht="19.95" customHeight="1">
      <c r="Q150" s="4" t="str">
        <f>IFERROR((tblContentMetrics[[#This Row],[收藏]]+tblContentMetrics[[#This Row],[分享]]+tblContentMetrics[[#This Row],[留言]]+tblContentMetrics[[#This Row],[私訊]]) / tblContentMetrics[[#This Row],[觀看]],"")</f>
        <v/>
      </c>
      <c r="R150" s="4" t="str">
        <f>IFERROR(tblContentMetrics[[#This Row],[LINE新增]]/tblContentMetrics[[#This Row],[觀看]],"")</f>
        <v/>
      </c>
      <c r="S150" s="4" t="str">
        <f>IFERROR(tblContentMetrics[[#This Row],[預約]]/tblContentMetrics[[#This Row],[LINE新增]],"")</f>
        <v/>
      </c>
      <c r="T150" s="4" t="str">
        <f>IFERROR(tblContentMetrics[[#This Row],[訂單]]/tblContentMetrics[[#This Row],[LINE新增]],"")</f>
        <v/>
      </c>
    </row>
    <row r="151" spans="17:20" ht="19.95" customHeight="1">
      <c r="Q151" s="4" t="str">
        <f>IFERROR((tblContentMetrics[[#This Row],[收藏]]+tblContentMetrics[[#This Row],[分享]]+tblContentMetrics[[#This Row],[留言]]+tblContentMetrics[[#This Row],[私訊]]) / tblContentMetrics[[#This Row],[觀看]],"")</f>
        <v/>
      </c>
      <c r="R151" s="4" t="str">
        <f>IFERROR(tblContentMetrics[[#This Row],[LINE新增]]/tblContentMetrics[[#This Row],[觀看]],"")</f>
        <v/>
      </c>
      <c r="S151" s="4" t="str">
        <f>IFERROR(tblContentMetrics[[#This Row],[預約]]/tblContentMetrics[[#This Row],[LINE新增]],"")</f>
        <v/>
      </c>
      <c r="T151" s="4" t="str">
        <f>IFERROR(tblContentMetrics[[#This Row],[訂單]]/tblContentMetrics[[#This Row],[LINE新增]],"")</f>
        <v/>
      </c>
    </row>
    <row r="152" spans="17:20" ht="19.95" customHeight="1">
      <c r="Q152" s="4" t="str">
        <f>IFERROR((tblContentMetrics[[#This Row],[收藏]]+tblContentMetrics[[#This Row],[分享]]+tblContentMetrics[[#This Row],[留言]]+tblContentMetrics[[#This Row],[私訊]]) / tblContentMetrics[[#This Row],[觀看]],"")</f>
        <v/>
      </c>
      <c r="R152" s="4" t="str">
        <f>IFERROR(tblContentMetrics[[#This Row],[LINE新增]]/tblContentMetrics[[#This Row],[觀看]],"")</f>
        <v/>
      </c>
      <c r="S152" s="4" t="str">
        <f>IFERROR(tblContentMetrics[[#This Row],[預約]]/tblContentMetrics[[#This Row],[LINE新增]],"")</f>
        <v/>
      </c>
      <c r="T152" s="4" t="str">
        <f>IFERROR(tblContentMetrics[[#This Row],[訂單]]/tblContentMetrics[[#This Row],[LINE新增]],"")</f>
        <v/>
      </c>
    </row>
    <row r="153" spans="17:20" ht="19.95" customHeight="1">
      <c r="Q153" s="4" t="str">
        <f>IFERROR((tblContentMetrics[[#This Row],[收藏]]+tblContentMetrics[[#This Row],[分享]]+tblContentMetrics[[#This Row],[留言]]+tblContentMetrics[[#This Row],[私訊]]) / tblContentMetrics[[#This Row],[觀看]],"")</f>
        <v/>
      </c>
      <c r="R153" s="4" t="str">
        <f>IFERROR(tblContentMetrics[[#This Row],[LINE新增]]/tblContentMetrics[[#This Row],[觀看]],"")</f>
        <v/>
      </c>
      <c r="S153" s="4" t="str">
        <f>IFERROR(tblContentMetrics[[#This Row],[預約]]/tblContentMetrics[[#This Row],[LINE新增]],"")</f>
        <v/>
      </c>
      <c r="T153" s="4" t="str">
        <f>IFERROR(tblContentMetrics[[#This Row],[訂單]]/tblContentMetrics[[#This Row],[LINE新增]],"")</f>
        <v/>
      </c>
    </row>
    <row r="154" spans="17:20" ht="19.95" customHeight="1">
      <c r="Q154" s="4" t="str">
        <f>IFERROR((tblContentMetrics[[#This Row],[收藏]]+tblContentMetrics[[#This Row],[分享]]+tblContentMetrics[[#This Row],[留言]]+tblContentMetrics[[#This Row],[私訊]]) / tblContentMetrics[[#This Row],[觀看]],"")</f>
        <v/>
      </c>
      <c r="R154" s="4" t="str">
        <f>IFERROR(tblContentMetrics[[#This Row],[LINE新增]]/tblContentMetrics[[#This Row],[觀看]],"")</f>
        <v/>
      </c>
      <c r="S154" s="4" t="str">
        <f>IFERROR(tblContentMetrics[[#This Row],[預約]]/tblContentMetrics[[#This Row],[LINE新增]],"")</f>
        <v/>
      </c>
      <c r="T154" s="4" t="str">
        <f>IFERROR(tblContentMetrics[[#This Row],[訂單]]/tblContentMetrics[[#This Row],[LINE新增]],"")</f>
        <v/>
      </c>
    </row>
    <row r="155" spans="17:20" ht="19.95" customHeight="1">
      <c r="Q155" s="4" t="str">
        <f>IFERROR((tblContentMetrics[[#This Row],[收藏]]+tblContentMetrics[[#This Row],[分享]]+tblContentMetrics[[#This Row],[留言]]+tblContentMetrics[[#This Row],[私訊]]) / tblContentMetrics[[#This Row],[觀看]],"")</f>
        <v/>
      </c>
      <c r="R155" s="4" t="str">
        <f>IFERROR(tblContentMetrics[[#This Row],[LINE新增]]/tblContentMetrics[[#This Row],[觀看]],"")</f>
        <v/>
      </c>
      <c r="S155" s="4" t="str">
        <f>IFERROR(tblContentMetrics[[#This Row],[預約]]/tblContentMetrics[[#This Row],[LINE新增]],"")</f>
        <v/>
      </c>
      <c r="T155" s="4" t="str">
        <f>IFERROR(tblContentMetrics[[#This Row],[訂單]]/tblContentMetrics[[#This Row],[LINE新增]],"")</f>
        <v/>
      </c>
    </row>
    <row r="156" spans="17:20" ht="19.95" customHeight="1">
      <c r="Q156" s="4" t="str">
        <f>IFERROR((tblContentMetrics[[#This Row],[收藏]]+tblContentMetrics[[#This Row],[分享]]+tblContentMetrics[[#This Row],[留言]]+tblContentMetrics[[#This Row],[私訊]]) / tblContentMetrics[[#This Row],[觀看]],"")</f>
        <v/>
      </c>
      <c r="R156" s="4" t="str">
        <f>IFERROR(tblContentMetrics[[#This Row],[LINE新增]]/tblContentMetrics[[#This Row],[觀看]],"")</f>
        <v/>
      </c>
      <c r="S156" s="4" t="str">
        <f>IFERROR(tblContentMetrics[[#This Row],[預約]]/tblContentMetrics[[#This Row],[LINE新增]],"")</f>
        <v/>
      </c>
      <c r="T156" s="4" t="str">
        <f>IFERROR(tblContentMetrics[[#This Row],[訂單]]/tblContentMetrics[[#This Row],[LINE新增]],"")</f>
        <v/>
      </c>
    </row>
    <row r="157" spans="17:20" ht="19.95" customHeight="1">
      <c r="Q157" s="4" t="str">
        <f>IFERROR((tblContentMetrics[[#This Row],[收藏]]+tblContentMetrics[[#This Row],[分享]]+tblContentMetrics[[#This Row],[留言]]+tblContentMetrics[[#This Row],[私訊]]) / tblContentMetrics[[#This Row],[觀看]],"")</f>
        <v/>
      </c>
      <c r="R157" s="4" t="str">
        <f>IFERROR(tblContentMetrics[[#This Row],[LINE新增]]/tblContentMetrics[[#This Row],[觀看]],"")</f>
        <v/>
      </c>
      <c r="S157" s="4" t="str">
        <f>IFERROR(tblContentMetrics[[#This Row],[預約]]/tblContentMetrics[[#This Row],[LINE新增]],"")</f>
        <v/>
      </c>
      <c r="T157" s="4" t="str">
        <f>IFERROR(tblContentMetrics[[#This Row],[訂單]]/tblContentMetrics[[#This Row],[LINE新增]],"")</f>
        <v/>
      </c>
    </row>
    <row r="158" spans="17:20" ht="19.95" customHeight="1">
      <c r="Q158" s="4" t="str">
        <f>IFERROR((tblContentMetrics[[#This Row],[收藏]]+tblContentMetrics[[#This Row],[分享]]+tblContentMetrics[[#This Row],[留言]]+tblContentMetrics[[#This Row],[私訊]]) / tblContentMetrics[[#This Row],[觀看]],"")</f>
        <v/>
      </c>
      <c r="R158" s="4" t="str">
        <f>IFERROR(tblContentMetrics[[#This Row],[LINE新增]]/tblContentMetrics[[#This Row],[觀看]],"")</f>
        <v/>
      </c>
      <c r="S158" s="4" t="str">
        <f>IFERROR(tblContentMetrics[[#This Row],[預約]]/tblContentMetrics[[#This Row],[LINE新增]],"")</f>
        <v/>
      </c>
      <c r="T158" s="4" t="str">
        <f>IFERROR(tblContentMetrics[[#This Row],[訂單]]/tblContentMetrics[[#This Row],[LINE新增]],"")</f>
        <v/>
      </c>
    </row>
    <row r="159" spans="17:20" ht="19.95" customHeight="1">
      <c r="Q159" s="4" t="str">
        <f>IFERROR((tblContentMetrics[[#This Row],[收藏]]+tblContentMetrics[[#This Row],[分享]]+tblContentMetrics[[#This Row],[留言]]+tblContentMetrics[[#This Row],[私訊]]) / tblContentMetrics[[#This Row],[觀看]],"")</f>
        <v/>
      </c>
      <c r="R159" s="4" t="str">
        <f>IFERROR(tblContentMetrics[[#This Row],[LINE新增]]/tblContentMetrics[[#This Row],[觀看]],"")</f>
        <v/>
      </c>
      <c r="S159" s="4" t="str">
        <f>IFERROR(tblContentMetrics[[#This Row],[預約]]/tblContentMetrics[[#This Row],[LINE新增]],"")</f>
        <v/>
      </c>
      <c r="T159" s="4" t="str">
        <f>IFERROR(tblContentMetrics[[#This Row],[訂單]]/tblContentMetrics[[#This Row],[LINE新增]],"")</f>
        <v/>
      </c>
    </row>
    <row r="160" spans="17:20" ht="19.95" customHeight="1">
      <c r="Q160" s="4" t="str">
        <f>IFERROR((tblContentMetrics[[#This Row],[收藏]]+tblContentMetrics[[#This Row],[分享]]+tblContentMetrics[[#This Row],[留言]]+tblContentMetrics[[#This Row],[私訊]]) / tblContentMetrics[[#This Row],[觀看]],"")</f>
        <v/>
      </c>
      <c r="R160" s="4" t="str">
        <f>IFERROR(tblContentMetrics[[#This Row],[LINE新增]]/tblContentMetrics[[#This Row],[觀看]],"")</f>
        <v/>
      </c>
      <c r="S160" s="4" t="str">
        <f>IFERROR(tblContentMetrics[[#This Row],[預約]]/tblContentMetrics[[#This Row],[LINE新增]],"")</f>
        <v/>
      </c>
      <c r="T160" s="4" t="str">
        <f>IFERROR(tblContentMetrics[[#This Row],[訂單]]/tblContentMetrics[[#This Row],[LINE新增]],"")</f>
        <v/>
      </c>
    </row>
    <row r="161" spans="17:20" ht="19.95" customHeight="1">
      <c r="Q161" s="4" t="str">
        <f>IFERROR((tblContentMetrics[[#This Row],[收藏]]+tblContentMetrics[[#This Row],[分享]]+tblContentMetrics[[#This Row],[留言]]+tblContentMetrics[[#This Row],[私訊]]) / tblContentMetrics[[#This Row],[觀看]],"")</f>
        <v/>
      </c>
      <c r="R161" s="4" t="str">
        <f>IFERROR(tblContentMetrics[[#This Row],[LINE新增]]/tblContentMetrics[[#This Row],[觀看]],"")</f>
        <v/>
      </c>
      <c r="S161" s="4" t="str">
        <f>IFERROR(tblContentMetrics[[#This Row],[預約]]/tblContentMetrics[[#This Row],[LINE新增]],"")</f>
        <v/>
      </c>
      <c r="T161" s="4" t="str">
        <f>IFERROR(tblContentMetrics[[#This Row],[訂單]]/tblContentMetrics[[#This Row],[LINE新增]],"")</f>
        <v/>
      </c>
    </row>
    <row r="162" spans="17:20" ht="19.95" customHeight="1">
      <c r="Q162" s="4" t="str">
        <f>IFERROR((tblContentMetrics[[#This Row],[收藏]]+tblContentMetrics[[#This Row],[分享]]+tblContentMetrics[[#This Row],[留言]]+tblContentMetrics[[#This Row],[私訊]]) / tblContentMetrics[[#This Row],[觀看]],"")</f>
        <v/>
      </c>
      <c r="R162" s="4" t="str">
        <f>IFERROR(tblContentMetrics[[#This Row],[LINE新增]]/tblContentMetrics[[#This Row],[觀看]],"")</f>
        <v/>
      </c>
      <c r="S162" s="4" t="str">
        <f>IFERROR(tblContentMetrics[[#This Row],[預約]]/tblContentMetrics[[#This Row],[LINE新增]],"")</f>
        <v/>
      </c>
      <c r="T162" s="4" t="str">
        <f>IFERROR(tblContentMetrics[[#This Row],[訂單]]/tblContentMetrics[[#This Row],[LINE新增]],"")</f>
        <v/>
      </c>
    </row>
    <row r="163" spans="17:20" ht="19.95" customHeight="1">
      <c r="Q163" s="4" t="str">
        <f>IFERROR((tblContentMetrics[[#This Row],[收藏]]+tblContentMetrics[[#This Row],[分享]]+tblContentMetrics[[#This Row],[留言]]+tblContentMetrics[[#This Row],[私訊]]) / tblContentMetrics[[#This Row],[觀看]],"")</f>
        <v/>
      </c>
      <c r="R163" s="4" t="str">
        <f>IFERROR(tblContentMetrics[[#This Row],[LINE新增]]/tblContentMetrics[[#This Row],[觀看]],"")</f>
        <v/>
      </c>
      <c r="S163" s="4" t="str">
        <f>IFERROR(tblContentMetrics[[#This Row],[預約]]/tblContentMetrics[[#This Row],[LINE新增]],"")</f>
        <v/>
      </c>
      <c r="T163" s="4" t="str">
        <f>IFERROR(tblContentMetrics[[#This Row],[訂單]]/tblContentMetrics[[#This Row],[LINE新增]],"")</f>
        <v/>
      </c>
    </row>
    <row r="164" spans="17:20" ht="19.95" customHeight="1">
      <c r="Q164" s="4" t="str">
        <f>IFERROR((tblContentMetrics[[#This Row],[收藏]]+tblContentMetrics[[#This Row],[分享]]+tblContentMetrics[[#This Row],[留言]]+tblContentMetrics[[#This Row],[私訊]]) / tblContentMetrics[[#This Row],[觀看]],"")</f>
        <v/>
      </c>
      <c r="R164" s="4" t="str">
        <f>IFERROR(tblContentMetrics[[#This Row],[LINE新增]]/tblContentMetrics[[#This Row],[觀看]],"")</f>
        <v/>
      </c>
      <c r="S164" s="4" t="str">
        <f>IFERROR(tblContentMetrics[[#This Row],[預約]]/tblContentMetrics[[#This Row],[LINE新增]],"")</f>
        <v/>
      </c>
      <c r="T164" s="4" t="str">
        <f>IFERROR(tblContentMetrics[[#This Row],[訂單]]/tblContentMetrics[[#This Row],[LINE新增]],"")</f>
        <v/>
      </c>
    </row>
    <row r="165" spans="17:20" ht="19.95" customHeight="1">
      <c r="Q165" s="4" t="str">
        <f>IFERROR((tblContentMetrics[[#This Row],[收藏]]+tblContentMetrics[[#This Row],[分享]]+tblContentMetrics[[#This Row],[留言]]+tblContentMetrics[[#This Row],[私訊]]) / tblContentMetrics[[#This Row],[觀看]],"")</f>
        <v/>
      </c>
      <c r="R165" s="4" t="str">
        <f>IFERROR(tblContentMetrics[[#This Row],[LINE新增]]/tblContentMetrics[[#This Row],[觀看]],"")</f>
        <v/>
      </c>
      <c r="S165" s="4" t="str">
        <f>IFERROR(tblContentMetrics[[#This Row],[預約]]/tblContentMetrics[[#This Row],[LINE新增]],"")</f>
        <v/>
      </c>
      <c r="T165" s="4" t="str">
        <f>IFERROR(tblContentMetrics[[#This Row],[訂單]]/tblContentMetrics[[#This Row],[LINE新增]],"")</f>
        <v/>
      </c>
    </row>
    <row r="166" spans="17:20" ht="19.95" customHeight="1">
      <c r="Q166" s="4" t="str">
        <f>IFERROR((tblContentMetrics[[#This Row],[收藏]]+tblContentMetrics[[#This Row],[分享]]+tblContentMetrics[[#This Row],[留言]]+tblContentMetrics[[#This Row],[私訊]]) / tblContentMetrics[[#This Row],[觀看]],"")</f>
        <v/>
      </c>
      <c r="R166" s="4" t="str">
        <f>IFERROR(tblContentMetrics[[#This Row],[LINE新增]]/tblContentMetrics[[#This Row],[觀看]],"")</f>
        <v/>
      </c>
      <c r="S166" s="4" t="str">
        <f>IFERROR(tblContentMetrics[[#This Row],[預約]]/tblContentMetrics[[#This Row],[LINE新增]],"")</f>
        <v/>
      </c>
      <c r="T166" s="4" t="str">
        <f>IFERROR(tblContentMetrics[[#This Row],[訂單]]/tblContentMetrics[[#This Row],[LINE新增]],"")</f>
        <v/>
      </c>
    </row>
    <row r="167" spans="17:20" ht="19.95" customHeight="1">
      <c r="Q167" s="4" t="str">
        <f>IFERROR((tblContentMetrics[[#This Row],[收藏]]+tblContentMetrics[[#This Row],[分享]]+tblContentMetrics[[#This Row],[留言]]+tblContentMetrics[[#This Row],[私訊]]) / tblContentMetrics[[#This Row],[觀看]],"")</f>
        <v/>
      </c>
      <c r="R167" s="4" t="str">
        <f>IFERROR(tblContentMetrics[[#This Row],[LINE新增]]/tblContentMetrics[[#This Row],[觀看]],"")</f>
        <v/>
      </c>
      <c r="S167" s="4" t="str">
        <f>IFERROR(tblContentMetrics[[#This Row],[預約]]/tblContentMetrics[[#This Row],[LINE新增]],"")</f>
        <v/>
      </c>
      <c r="T167" s="4" t="str">
        <f>IFERROR(tblContentMetrics[[#This Row],[訂單]]/tblContentMetrics[[#This Row],[LINE新增]],"")</f>
        <v/>
      </c>
    </row>
    <row r="168" spans="17:20" ht="19.95" customHeight="1">
      <c r="Q168" s="4" t="str">
        <f>IFERROR((tblContentMetrics[[#This Row],[收藏]]+tblContentMetrics[[#This Row],[分享]]+tblContentMetrics[[#This Row],[留言]]+tblContentMetrics[[#This Row],[私訊]]) / tblContentMetrics[[#This Row],[觀看]],"")</f>
        <v/>
      </c>
      <c r="R168" s="4" t="str">
        <f>IFERROR(tblContentMetrics[[#This Row],[LINE新增]]/tblContentMetrics[[#This Row],[觀看]],"")</f>
        <v/>
      </c>
      <c r="S168" s="4" t="str">
        <f>IFERROR(tblContentMetrics[[#This Row],[預約]]/tblContentMetrics[[#This Row],[LINE新增]],"")</f>
        <v/>
      </c>
      <c r="T168" s="4" t="str">
        <f>IFERROR(tblContentMetrics[[#This Row],[訂單]]/tblContentMetrics[[#This Row],[LINE新增]],"")</f>
        <v/>
      </c>
    </row>
    <row r="169" spans="17:20" ht="19.95" customHeight="1">
      <c r="Q169" s="4" t="str">
        <f>IFERROR((tblContentMetrics[[#This Row],[收藏]]+tblContentMetrics[[#This Row],[分享]]+tblContentMetrics[[#This Row],[留言]]+tblContentMetrics[[#This Row],[私訊]]) / tblContentMetrics[[#This Row],[觀看]],"")</f>
        <v/>
      </c>
      <c r="R169" s="4" t="str">
        <f>IFERROR(tblContentMetrics[[#This Row],[LINE新增]]/tblContentMetrics[[#This Row],[觀看]],"")</f>
        <v/>
      </c>
      <c r="S169" s="4" t="str">
        <f>IFERROR(tblContentMetrics[[#This Row],[預約]]/tblContentMetrics[[#This Row],[LINE新增]],"")</f>
        <v/>
      </c>
      <c r="T169" s="4" t="str">
        <f>IFERROR(tblContentMetrics[[#This Row],[訂單]]/tblContentMetrics[[#This Row],[LINE新增]],"")</f>
        <v/>
      </c>
    </row>
    <row r="170" spans="17:20" ht="19.95" customHeight="1">
      <c r="Q170" s="4" t="str">
        <f>IFERROR((tblContentMetrics[[#This Row],[收藏]]+tblContentMetrics[[#This Row],[分享]]+tblContentMetrics[[#This Row],[留言]]+tblContentMetrics[[#This Row],[私訊]]) / tblContentMetrics[[#This Row],[觀看]],"")</f>
        <v/>
      </c>
      <c r="R170" s="4" t="str">
        <f>IFERROR(tblContentMetrics[[#This Row],[LINE新增]]/tblContentMetrics[[#This Row],[觀看]],"")</f>
        <v/>
      </c>
      <c r="S170" s="4" t="str">
        <f>IFERROR(tblContentMetrics[[#This Row],[預約]]/tblContentMetrics[[#This Row],[LINE新增]],"")</f>
        <v/>
      </c>
      <c r="T170" s="4" t="str">
        <f>IFERROR(tblContentMetrics[[#This Row],[訂單]]/tblContentMetrics[[#This Row],[LINE新增]],"")</f>
        <v/>
      </c>
    </row>
    <row r="171" spans="17:20" ht="19.95" customHeight="1">
      <c r="Q171" s="4" t="str">
        <f>IFERROR((tblContentMetrics[[#This Row],[收藏]]+tblContentMetrics[[#This Row],[分享]]+tblContentMetrics[[#This Row],[留言]]+tblContentMetrics[[#This Row],[私訊]]) / tblContentMetrics[[#This Row],[觀看]],"")</f>
        <v/>
      </c>
      <c r="R171" s="4" t="str">
        <f>IFERROR(tblContentMetrics[[#This Row],[LINE新增]]/tblContentMetrics[[#This Row],[觀看]],"")</f>
        <v/>
      </c>
      <c r="S171" s="4" t="str">
        <f>IFERROR(tblContentMetrics[[#This Row],[預約]]/tblContentMetrics[[#This Row],[LINE新增]],"")</f>
        <v/>
      </c>
      <c r="T171" s="4" t="str">
        <f>IFERROR(tblContentMetrics[[#This Row],[訂單]]/tblContentMetrics[[#This Row],[LINE新增]],"")</f>
        <v/>
      </c>
    </row>
    <row r="172" spans="17:20" ht="19.95" customHeight="1">
      <c r="Q172" s="4" t="str">
        <f>IFERROR((tblContentMetrics[[#This Row],[收藏]]+tblContentMetrics[[#This Row],[分享]]+tblContentMetrics[[#This Row],[留言]]+tblContentMetrics[[#This Row],[私訊]]) / tblContentMetrics[[#This Row],[觀看]],"")</f>
        <v/>
      </c>
      <c r="R172" s="4" t="str">
        <f>IFERROR(tblContentMetrics[[#This Row],[LINE新增]]/tblContentMetrics[[#This Row],[觀看]],"")</f>
        <v/>
      </c>
      <c r="S172" s="4" t="str">
        <f>IFERROR(tblContentMetrics[[#This Row],[預約]]/tblContentMetrics[[#This Row],[LINE新增]],"")</f>
        <v/>
      </c>
      <c r="T172" s="4" t="str">
        <f>IFERROR(tblContentMetrics[[#This Row],[訂單]]/tblContentMetrics[[#This Row],[LINE新增]],"")</f>
        <v/>
      </c>
    </row>
    <row r="173" spans="17:20" ht="19.95" customHeight="1">
      <c r="Q173" s="4" t="str">
        <f>IFERROR((tblContentMetrics[[#This Row],[收藏]]+tblContentMetrics[[#This Row],[分享]]+tblContentMetrics[[#This Row],[留言]]+tblContentMetrics[[#This Row],[私訊]]) / tblContentMetrics[[#This Row],[觀看]],"")</f>
        <v/>
      </c>
      <c r="R173" s="4" t="str">
        <f>IFERROR(tblContentMetrics[[#This Row],[LINE新增]]/tblContentMetrics[[#This Row],[觀看]],"")</f>
        <v/>
      </c>
      <c r="S173" s="4" t="str">
        <f>IFERROR(tblContentMetrics[[#This Row],[預約]]/tblContentMetrics[[#This Row],[LINE新增]],"")</f>
        <v/>
      </c>
      <c r="T173" s="4" t="str">
        <f>IFERROR(tblContentMetrics[[#This Row],[訂單]]/tblContentMetrics[[#This Row],[LINE新增]],"")</f>
        <v/>
      </c>
    </row>
    <row r="174" spans="17:20" ht="19.95" customHeight="1">
      <c r="Q174" s="4" t="str">
        <f>IFERROR((tblContentMetrics[[#This Row],[收藏]]+tblContentMetrics[[#This Row],[分享]]+tblContentMetrics[[#This Row],[留言]]+tblContentMetrics[[#This Row],[私訊]]) / tblContentMetrics[[#This Row],[觀看]],"")</f>
        <v/>
      </c>
      <c r="R174" s="4" t="str">
        <f>IFERROR(tblContentMetrics[[#This Row],[LINE新增]]/tblContentMetrics[[#This Row],[觀看]],"")</f>
        <v/>
      </c>
      <c r="S174" s="4" t="str">
        <f>IFERROR(tblContentMetrics[[#This Row],[預約]]/tblContentMetrics[[#This Row],[LINE新增]],"")</f>
        <v/>
      </c>
      <c r="T174" s="4" t="str">
        <f>IFERROR(tblContentMetrics[[#This Row],[訂單]]/tblContentMetrics[[#This Row],[LINE新增]],"")</f>
        <v/>
      </c>
    </row>
    <row r="175" spans="17:20" ht="19.95" customHeight="1">
      <c r="Q175" s="4" t="str">
        <f>IFERROR((tblContentMetrics[[#This Row],[收藏]]+tblContentMetrics[[#This Row],[分享]]+tblContentMetrics[[#This Row],[留言]]+tblContentMetrics[[#This Row],[私訊]]) / tblContentMetrics[[#This Row],[觀看]],"")</f>
        <v/>
      </c>
      <c r="R175" s="4" t="str">
        <f>IFERROR(tblContentMetrics[[#This Row],[LINE新增]]/tblContentMetrics[[#This Row],[觀看]],"")</f>
        <v/>
      </c>
      <c r="S175" s="4" t="str">
        <f>IFERROR(tblContentMetrics[[#This Row],[預約]]/tblContentMetrics[[#This Row],[LINE新增]],"")</f>
        <v/>
      </c>
      <c r="T175" s="4" t="str">
        <f>IFERROR(tblContentMetrics[[#This Row],[訂單]]/tblContentMetrics[[#This Row],[LINE新增]],"")</f>
        <v/>
      </c>
    </row>
    <row r="176" spans="17:20" ht="19.95" customHeight="1">
      <c r="Q176" s="4" t="str">
        <f>IFERROR((tblContentMetrics[[#This Row],[收藏]]+tblContentMetrics[[#This Row],[分享]]+tblContentMetrics[[#This Row],[留言]]+tblContentMetrics[[#This Row],[私訊]]) / tblContentMetrics[[#This Row],[觀看]],"")</f>
        <v/>
      </c>
      <c r="R176" s="4" t="str">
        <f>IFERROR(tblContentMetrics[[#This Row],[LINE新增]]/tblContentMetrics[[#This Row],[觀看]],"")</f>
        <v/>
      </c>
      <c r="S176" s="4" t="str">
        <f>IFERROR(tblContentMetrics[[#This Row],[預約]]/tblContentMetrics[[#This Row],[LINE新增]],"")</f>
        <v/>
      </c>
      <c r="T176" s="4" t="str">
        <f>IFERROR(tblContentMetrics[[#This Row],[訂單]]/tblContentMetrics[[#This Row],[LINE新增]],"")</f>
        <v/>
      </c>
    </row>
    <row r="177" spans="17:20" ht="19.95" customHeight="1">
      <c r="Q177" s="4" t="str">
        <f>IFERROR((tblContentMetrics[[#This Row],[收藏]]+tblContentMetrics[[#This Row],[分享]]+tblContentMetrics[[#This Row],[留言]]+tblContentMetrics[[#This Row],[私訊]]) / tblContentMetrics[[#This Row],[觀看]],"")</f>
        <v/>
      </c>
      <c r="R177" s="4" t="str">
        <f>IFERROR(tblContentMetrics[[#This Row],[LINE新增]]/tblContentMetrics[[#This Row],[觀看]],"")</f>
        <v/>
      </c>
      <c r="S177" s="4" t="str">
        <f>IFERROR(tblContentMetrics[[#This Row],[預約]]/tblContentMetrics[[#This Row],[LINE新增]],"")</f>
        <v/>
      </c>
      <c r="T177" s="4" t="str">
        <f>IFERROR(tblContentMetrics[[#This Row],[訂單]]/tblContentMetrics[[#This Row],[LINE新增]],"")</f>
        <v/>
      </c>
    </row>
    <row r="178" spans="17:20" ht="19.95" customHeight="1">
      <c r="Q178" s="4" t="str">
        <f>IFERROR((tblContentMetrics[[#This Row],[收藏]]+tblContentMetrics[[#This Row],[分享]]+tblContentMetrics[[#This Row],[留言]]+tblContentMetrics[[#This Row],[私訊]]) / tblContentMetrics[[#This Row],[觀看]],"")</f>
        <v/>
      </c>
      <c r="R178" s="4" t="str">
        <f>IFERROR(tblContentMetrics[[#This Row],[LINE新增]]/tblContentMetrics[[#This Row],[觀看]],"")</f>
        <v/>
      </c>
      <c r="S178" s="4" t="str">
        <f>IFERROR(tblContentMetrics[[#This Row],[預約]]/tblContentMetrics[[#This Row],[LINE新增]],"")</f>
        <v/>
      </c>
      <c r="T178" s="4" t="str">
        <f>IFERROR(tblContentMetrics[[#This Row],[訂單]]/tblContentMetrics[[#This Row],[LINE新增]],"")</f>
        <v/>
      </c>
    </row>
    <row r="179" spans="17:20" ht="19.95" customHeight="1">
      <c r="Q179" s="4" t="str">
        <f>IFERROR((tblContentMetrics[[#This Row],[收藏]]+tblContentMetrics[[#This Row],[分享]]+tblContentMetrics[[#This Row],[留言]]+tblContentMetrics[[#This Row],[私訊]]) / tblContentMetrics[[#This Row],[觀看]],"")</f>
        <v/>
      </c>
      <c r="R179" s="4" t="str">
        <f>IFERROR(tblContentMetrics[[#This Row],[LINE新增]]/tblContentMetrics[[#This Row],[觀看]],"")</f>
        <v/>
      </c>
      <c r="S179" s="4" t="str">
        <f>IFERROR(tblContentMetrics[[#This Row],[預約]]/tblContentMetrics[[#This Row],[LINE新增]],"")</f>
        <v/>
      </c>
      <c r="T179" s="4" t="str">
        <f>IFERROR(tblContentMetrics[[#This Row],[訂單]]/tblContentMetrics[[#This Row],[LINE新增]],"")</f>
        <v/>
      </c>
    </row>
    <row r="180" spans="17:20" ht="19.95" customHeight="1">
      <c r="Q180" s="4" t="str">
        <f>IFERROR((tblContentMetrics[[#This Row],[收藏]]+tblContentMetrics[[#This Row],[分享]]+tblContentMetrics[[#This Row],[留言]]+tblContentMetrics[[#This Row],[私訊]]) / tblContentMetrics[[#This Row],[觀看]],"")</f>
        <v/>
      </c>
      <c r="R180" s="4" t="str">
        <f>IFERROR(tblContentMetrics[[#This Row],[LINE新增]]/tblContentMetrics[[#This Row],[觀看]],"")</f>
        <v/>
      </c>
      <c r="S180" s="4" t="str">
        <f>IFERROR(tblContentMetrics[[#This Row],[預約]]/tblContentMetrics[[#This Row],[LINE新增]],"")</f>
        <v/>
      </c>
      <c r="T180" s="4" t="str">
        <f>IFERROR(tblContentMetrics[[#This Row],[訂單]]/tblContentMetrics[[#This Row],[LINE新增]],"")</f>
        <v/>
      </c>
    </row>
    <row r="181" spans="17:20" ht="19.95" customHeight="1">
      <c r="Q181" s="4" t="str">
        <f>IFERROR((tblContentMetrics[[#This Row],[收藏]]+tblContentMetrics[[#This Row],[分享]]+tblContentMetrics[[#This Row],[留言]]+tblContentMetrics[[#This Row],[私訊]]) / tblContentMetrics[[#This Row],[觀看]],"")</f>
        <v/>
      </c>
      <c r="R181" s="4" t="str">
        <f>IFERROR(tblContentMetrics[[#This Row],[LINE新增]]/tblContentMetrics[[#This Row],[觀看]],"")</f>
        <v/>
      </c>
      <c r="S181" s="4" t="str">
        <f>IFERROR(tblContentMetrics[[#This Row],[預約]]/tblContentMetrics[[#This Row],[LINE新增]],"")</f>
        <v/>
      </c>
      <c r="T181" s="4" t="str">
        <f>IFERROR(tblContentMetrics[[#This Row],[訂單]]/tblContentMetrics[[#This Row],[LINE新增]],"")</f>
        <v/>
      </c>
    </row>
    <row r="182" spans="17:20" ht="19.95" customHeight="1">
      <c r="Q182" s="4" t="str">
        <f>IFERROR((tblContentMetrics[[#This Row],[收藏]]+tblContentMetrics[[#This Row],[分享]]+tblContentMetrics[[#This Row],[留言]]+tblContentMetrics[[#This Row],[私訊]]) / tblContentMetrics[[#This Row],[觀看]],"")</f>
        <v/>
      </c>
      <c r="R182" s="4" t="str">
        <f>IFERROR(tblContentMetrics[[#This Row],[LINE新增]]/tblContentMetrics[[#This Row],[觀看]],"")</f>
        <v/>
      </c>
      <c r="S182" s="4" t="str">
        <f>IFERROR(tblContentMetrics[[#This Row],[預約]]/tblContentMetrics[[#This Row],[LINE新增]],"")</f>
        <v/>
      </c>
      <c r="T182" s="4" t="str">
        <f>IFERROR(tblContentMetrics[[#This Row],[訂單]]/tblContentMetrics[[#This Row],[LINE新增]],"")</f>
        <v/>
      </c>
    </row>
    <row r="183" spans="17:20" ht="19.95" customHeight="1">
      <c r="Q183" s="4" t="str">
        <f>IFERROR((tblContentMetrics[[#This Row],[收藏]]+tblContentMetrics[[#This Row],[分享]]+tblContentMetrics[[#This Row],[留言]]+tblContentMetrics[[#This Row],[私訊]]) / tblContentMetrics[[#This Row],[觀看]],"")</f>
        <v/>
      </c>
      <c r="R183" s="4" t="str">
        <f>IFERROR(tblContentMetrics[[#This Row],[LINE新增]]/tblContentMetrics[[#This Row],[觀看]],"")</f>
        <v/>
      </c>
      <c r="S183" s="4" t="str">
        <f>IFERROR(tblContentMetrics[[#This Row],[預約]]/tblContentMetrics[[#This Row],[LINE新增]],"")</f>
        <v/>
      </c>
      <c r="T183" s="4" t="str">
        <f>IFERROR(tblContentMetrics[[#This Row],[訂單]]/tblContentMetrics[[#This Row],[LINE新增]],"")</f>
        <v/>
      </c>
    </row>
    <row r="184" spans="17:20" ht="19.95" customHeight="1">
      <c r="Q184" s="4" t="str">
        <f>IFERROR((tblContentMetrics[[#This Row],[收藏]]+tblContentMetrics[[#This Row],[分享]]+tblContentMetrics[[#This Row],[留言]]+tblContentMetrics[[#This Row],[私訊]]) / tblContentMetrics[[#This Row],[觀看]],"")</f>
        <v/>
      </c>
      <c r="R184" s="4" t="str">
        <f>IFERROR(tblContentMetrics[[#This Row],[LINE新增]]/tblContentMetrics[[#This Row],[觀看]],"")</f>
        <v/>
      </c>
      <c r="S184" s="4" t="str">
        <f>IFERROR(tblContentMetrics[[#This Row],[預約]]/tblContentMetrics[[#This Row],[LINE新增]],"")</f>
        <v/>
      </c>
      <c r="T184" s="4" t="str">
        <f>IFERROR(tblContentMetrics[[#This Row],[訂單]]/tblContentMetrics[[#This Row],[LINE新增]],"")</f>
        <v/>
      </c>
    </row>
    <row r="185" spans="17:20" ht="19.95" customHeight="1">
      <c r="Q185" s="4" t="str">
        <f>IFERROR((tblContentMetrics[[#This Row],[收藏]]+tblContentMetrics[[#This Row],[分享]]+tblContentMetrics[[#This Row],[留言]]+tblContentMetrics[[#This Row],[私訊]]) / tblContentMetrics[[#This Row],[觀看]],"")</f>
        <v/>
      </c>
      <c r="R185" s="4" t="str">
        <f>IFERROR(tblContentMetrics[[#This Row],[LINE新增]]/tblContentMetrics[[#This Row],[觀看]],"")</f>
        <v/>
      </c>
      <c r="S185" s="4" t="str">
        <f>IFERROR(tblContentMetrics[[#This Row],[預約]]/tblContentMetrics[[#This Row],[LINE新增]],"")</f>
        <v/>
      </c>
      <c r="T185" s="4" t="str">
        <f>IFERROR(tblContentMetrics[[#This Row],[訂單]]/tblContentMetrics[[#This Row],[LINE新增]],"")</f>
        <v/>
      </c>
    </row>
    <row r="186" spans="17:20" ht="19.95" customHeight="1">
      <c r="Q186" s="4" t="str">
        <f>IFERROR((tblContentMetrics[[#This Row],[收藏]]+tblContentMetrics[[#This Row],[分享]]+tblContentMetrics[[#This Row],[留言]]+tblContentMetrics[[#This Row],[私訊]]) / tblContentMetrics[[#This Row],[觀看]],"")</f>
        <v/>
      </c>
      <c r="R186" s="4" t="str">
        <f>IFERROR(tblContentMetrics[[#This Row],[LINE新增]]/tblContentMetrics[[#This Row],[觀看]],"")</f>
        <v/>
      </c>
      <c r="S186" s="4" t="str">
        <f>IFERROR(tblContentMetrics[[#This Row],[預約]]/tblContentMetrics[[#This Row],[LINE新增]],"")</f>
        <v/>
      </c>
      <c r="T186" s="4" t="str">
        <f>IFERROR(tblContentMetrics[[#This Row],[訂單]]/tblContentMetrics[[#This Row],[LINE新增]],"")</f>
        <v/>
      </c>
    </row>
    <row r="187" spans="17:20" ht="19.95" customHeight="1">
      <c r="Q187" s="4" t="str">
        <f>IFERROR((tblContentMetrics[[#This Row],[收藏]]+tblContentMetrics[[#This Row],[分享]]+tblContentMetrics[[#This Row],[留言]]+tblContentMetrics[[#This Row],[私訊]]) / tblContentMetrics[[#This Row],[觀看]],"")</f>
        <v/>
      </c>
      <c r="R187" s="4" t="str">
        <f>IFERROR(tblContentMetrics[[#This Row],[LINE新增]]/tblContentMetrics[[#This Row],[觀看]],"")</f>
        <v/>
      </c>
      <c r="S187" s="4" t="str">
        <f>IFERROR(tblContentMetrics[[#This Row],[預約]]/tblContentMetrics[[#This Row],[LINE新增]],"")</f>
        <v/>
      </c>
      <c r="T187" s="4" t="str">
        <f>IFERROR(tblContentMetrics[[#This Row],[訂單]]/tblContentMetrics[[#This Row],[LINE新增]],"")</f>
        <v/>
      </c>
    </row>
    <row r="188" spans="17:20" ht="19.95" customHeight="1">
      <c r="Q188" s="4" t="str">
        <f>IFERROR((tblContentMetrics[[#This Row],[收藏]]+tblContentMetrics[[#This Row],[分享]]+tblContentMetrics[[#This Row],[留言]]+tblContentMetrics[[#This Row],[私訊]]) / tblContentMetrics[[#This Row],[觀看]],"")</f>
        <v/>
      </c>
      <c r="R188" s="4" t="str">
        <f>IFERROR(tblContentMetrics[[#This Row],[LINE新增]]/tblContentMetrics[[#This Row],[觀看]],"")</f>
        <v/>
      </c>
      <c r="S188" s="4" t="str">
        <f>IFERROR(tblContentMetrics[[#This Row],[預約]]/tblContentMetrics[[#This Row],[LINE新增]],"")</f>
        <v/>
      </c>
      <c r="T188" s="4" t="str">
        <f>IFERROR(tblContentMetrics[[#This Row],[訂單]]/tblContentMetrics[[#This Row],[LINE新增]],"")</f>
        <v/>
      </c>
    </row>
    <row r="189" spans="17:20" ht="19.95" customHeight="1">
      <c r="Q189" s="4" t="str">
        <f>IFERROR((tblContentMetrics[[#This Row],[收藏]]+tblContentMetrics[[#This Row],[分享]]+tblContentMetrics[[#This Row],[留言]]+tblContentMetrics[[#This Row],[私訊]]) / tblContentMetrics[[#This Row],[觀看]],"")</f>
        <v/>
      </c>
      <c r="R189" s="4" t="str">
        <f>IFERROR(tblContentMetrics[[#This Row],[LINE新增]]/tblContentMetrics[[#This Row],[觀看]],"")</f>
        <v/>
      </c>
      <c r="S189" s="4" t="str">
        <f>IFERROR(tblContentMetrics[[#This Row],[預約]]/tblContentMetrics[[#This Row],[LINE新增]],"")</f>
        <v/>
      </c>
      <c r="T189" s="4" t="str">
        <f>IFERROR(tblContentMetrics[[#This Row],[訂單]]/tblContentMetrics[[#This Row],[LINE新增]],"")</f>
        <v/>
      </c>
    </row>
    <row r="190" spans="17:20" ht="19.95" customHeight="1">
      <c r="Q190" s="4" t="str">
        <f>IFERROR((tblContentMetrics[[#This Row],[收藏]]+tblContentMetrics[[#This Row],[分享]]+tblContentMetrics[[#This Row],[留言]]+tblContentMetrics[[#This Row],[私訊]]) / tblContentMetrics[[#This Row],[觀看]],"")</f>
        <v/>
      </c>
      <c r="R190" s="4" t="str">
        <f>IFERROR(tblContentMetrics[[#This Row],[LINE新增]]/tblContentMetrics[[#This Row],[觀看]],"")</f>
        <v/>
      </c>
      <c r="S190" s="4" t="str">
        <f>IFERROR(tblContentMetrics[[#This Row],[預約]]/tblContentMetrics[[#This Row],[LINE新增]],"")</f>
        <v/>
      </c>
      <c r="T190" s="4" t="str">
        <f>IFERROR(tblContentMetrics[[#This Row],[訂單]]/tblContentMetrics[[#This Row],[LINE新增]],"")</f>
        <v/>
      </c>
    </row>
    <row r="191" spans="17:20" ht="19.95" customHeight="1">
      <c r="Q191" s="4" t="str">
        <f>IFERROR((tblContentMetrics[[#This Row],[收藏]]+tblContentMetrics[[#This Row],[分享]]+tblContentMetrics[[#This Row],[留言]]+tblContentMetrics[[#This Row],[私訊]]) / tblContentMetrics[[#This Row],[觀看]],"")</f>
        <v/>
      </c>
      <c r="R191" s="4" t="str">
        <f>IFERROR(tblContentMetrics[[#This Row],[LINE新增]]/tblContentMetrics[[#This Row],[觀看]],"")</f>
        <v/>
      </c>
      <c r="S191" s="4" t="str">
        <f>IFERROR(tblContentMetrics[[#This Row],[預約]]/tblContentMetrics[[#This Row],[LINE新增]],"")</f>
        <v/>
      </c>
      <c r="T191" s="4" t="str">
        <f>IFERROR(tblContentMetrics[[#This Row],[訂單]]/tblContentMetrics[[#This Row],[LINE新增]],"")</f>
        <v/>
      </c>
    </row>
    <row r="192" spans="17:20" ht="19.95" customHeight="1">
      <c r="Q192" s="4" t="str">
        <f>IFERROR((tblContentMetrics[[#This Row],[收藏]]+tblContentMetrics[[#This Row],[分享]]+tblContentMetrics[[#This Row],[留言]]+tblContentMetrics[[#This Row],[私訊]]) / tblContentMetrics[[#This Row],[觀看]],"")</f>
        <v/>
      </c>
      <c r="R192" s="4" t="str">
        <f>IFERROR(tblContentMetrics[[#This Row],[LINE新增]]/tblContentMetrics[[#This Row],[觀看]],"")</f>
        <v/>
      </c>
      <c r="S192" s="4" t="str">
        <f>IFERROR(tblContentMetrics[[#This Row],[預約]]/tblContentMetrics[[#This Row],[LINE新增]],"")</f>
        <v/>
      </c>
      <c r="T192" s="4" t="str">
        <f>IFERROR(tblContentMetrics[[#This Row],[訂單]]/tblContentMetrics[[#This Row],[LINE新增]],"")</f>
        <v/>
      </c>
    </row>
    <row r="193" spans="17:20" ht="19.95" customHeight="1">
      <c r="Q193" s="4" t="str">
        <f>IFERROR((tblContentMetrics[[#This Row],[收藏]]+tblContentMetrics[[#This Row],[分享]]+tblContentMetrics[[#This Row],[留言]]+tblContentMetrics[[#This Row],[私訊]]) / tblContentMetrics[[#This Row],[觀看]],"")</f>
        <v/>
      </c>
      <c r="R193" s="4" t="str">
        <f>IFERROR(tblContentMetrics[[#This Row],[LINE新增]]/tblContentMetrics[[#This Row],[觀看]],"")</f>
        <v/>
      </c>
      <c r="S193" s="4" t="str">
        <f>IFERROR(tblContentMetrics[[#This Row],[預約]]/tblContentMetrics[[#This Row],[LINE新增]],"")</f>
        <v/>
      </c>
      <c r="T193" s="4" t="str">
        <f>IFERROR(tblContentMetrics[[#This Row],[訂單]]/tblContentMetrics[[#This Row],[LINE新增]],"")</f>
        <v/>
      </c>
    </row>
    <row r="194" spans="17:20" ht="19.95" customHeight="1">
      <c r="Q194" s="4" t="str">
        <f>IFERROR((tblContentMetrics[[#This Row],[收藏]]+tblContentMetrics[[#This Row],[分享]]+tblContentMetrics[[#This Row],[留言]]+tblContentMetrics[[#This Row],[私訊]]) / tblContentMetrics[[#This Row],[觀看]],"")</f>
        <v/>
      </c>
      <c r="R194" s="4" t="str">
        <f>IFERROR(tblContentMetrics[[#This Row],[LINE新增]]/tblContentMetrics[[#This Row],[觀看]],"")</f>
        <v/>
      </c>
      <c r="S194" s="4" t="str">
        <f>IFERROR(tblContentMetrics[[#This Row],[預約]]/tblContentMetrics[[#This Row],[LINE新增]],"")</f>
        <v/>
      </c>
      <c r="T194" s="4" t="str">
        <f>IFERROR(tblContentMetrics[[#This Row],[訂單]]/tblContentMetrics[[#This Row],[LINE新增]],"")</f>
        <v/>
      </c>
    </row>
    <row r="195" spans="17:20" ht="19.95" customHeight="1">
      <c r="Q195" s="4" t="str">
        <f>IFERROR((tblContentMetrics[[#This Row],[收藏]]+tblContentMetrics[[#This Row],[分享]]+tblContentMetrics[[#This Row],[留言]]+tblContentMetrics[[#This Row],[私訊]]) / tblContentMetrics[[#This Row],[觀看]],"")</f>
        <v/>
      </c>
      <c r="R195" s="4" t="str">
        <f>IFERROR(tblContentMetrics[[#This Row],[LINE新增]]/tblContentMetrics[[#This Row],[觀看]],"")</f>
        <v/>
      </c>
      <c r="S195" s="4" t="str">
        <f>IFERROR(tblContentMetrics[[#This Row],[預約]]/tblContentMetrics[[#This Row],[LINE新增]],"")</f>
        <v/>
      </c>
      <c r="T195" s="4" t="str">
        <f>IFERROR(tblContentMetrics[[#This Row],[訂單]]/tblContentMetrics[[#This Row],[LINE新增]],"")</f>
        <v/>
      </c>
    </row>
    <row r="196" spans="17:20" ht="19.95" customHeight="1">
      <c r="Q196" s="4" t="str">
        <f>IFERROR((tblContentMetrics[[#This Row],[收藏]]+tblContentMetrics[[#This Row],[分享]]+tblContentMetrics[[#This Row],[留言]]+tblContentMetrics[[#This Row],[私訊]]) / tblContentMetrics[[#This Row],[觀看]],"")</f>
        <v/>
      </c>
      <c r="R196" s="4" t="str">
        <f>IFERROR(tblContentMetrics[[#This Row],[LINE新增]]/tblContentMetrics[[#This Row],[觀看]],"")</f>
        <v/>
      </c>
      <c r="S196" s="4" t="str">
        <f>IFERROR(tblContentMetrics[[#This Row],[預約]]/tblContentMetrics[[#This Row],[LINE新增]],"")</f>
        <v/>
      </c>
      <c r="T196" s="4" t="str">
        <f>IFERROR(tblContentMetrics[[#This Row],[訂單]]/tblContentMetrics[[#This Row],[LINE新增]],"")</f>
        <v/>
      </c>
    </row>
    <row r="197" spans="17:20" ht="19.95" customHeight="1">
      <c r="Q197" s="4" t="str">
        <f>IFERROR((tblContentMetrics[[#This Row],[收藏]]+tblContentMetrics[[#This Row],[分享]]+tblContentMetrics[[#This Row],[留言]]+tblContentMetrics[[#This Row],[私訊]]) / tblContentMetrics[[#This Row],[觀看]],"")</f>
        <v/>
      </c>
      <c r="R197" s="4" t="str">
        <f>IFERROR(tblContentMetrics[[#This Row],[LINE新增]]/tblContentMetrics[[#This Row],[觀看]],"")</f>
        <v/>
      </c>
      <c r="S197" s="4" t="str">
        <f>IFERROR(tblContentMetrics[[#This Row],[預約]]/tblContentMetrics[[#This Row],[LINE新增]],"")</f>
        <v/>
      </c>
      <c r="T197" s="4" t="str">
        <f>IFERROR(tblContentMetrics[[#This Row],[訂單]]/tblContentMetrics[[#This Row],[LINE新增]],"")</f>
        <v/>
      </c>
    </row>
    <row r="198" spans="17:20" ht="19.95" customHeight="1">
      <c r="Q198" s="4" t="str">
        <f>IFERROR((tblContentMetrics[[#This Row],[收藏]]+tblContentMetrics[[#This Row],[分享]]+tblContentMetrics[[#This Row],[留言]]+tblContentMetrics[[#This Row],[私訊]]) / tblContentMetrics[[#This Row],[觀看]],"")</f>
        <v/>
      </c>
      <c r="R198" s="4" t="str">
        <f>IFERROR(tblContentMetrics[[#This Row],[LINE新增]]/tblContentMetrics[[#This Row],[觀看]],"")</f>
        <v/>
      </c>
      <c r="S198" s="4" t="str">
        <f>IFERROR(tblContentMetrics[[#This Row],[預約]]/tblContentMetrics[[#This Row],[LINE新增]],"")</f>
        <v/>
      </c>
      <c r="T198" s="4" t="str">
        <f>IFERROR(tblContentMetrics[[#This Row],[訂單]]/tblContentMetrics[[#This Row],[LINE新增]],"")</f>
        <v/>
      </c>
    </row>
    <row r="199" spans="17:20" ht="19.95" customHeight="1">
      <c r="Q199" s="4" t="str">
        <f>IFERROR((tblContentMetrics[[#This Row],[收藏]]+tblContentMetrics[[#This Row],[分享]]+tblContentMetrics[[#This Row],[留言]]+tblContentMetrics[[#This Row],[私訊]]) / tblContentMetrics[[#This Row],[觀看]],"")</f>
        <v/>
      </c>
      <c r="R199" s="4" t="str">
        <f>IFERROR(tblContentMetrics[[#This Row],[LINE新增]]/tblContentMetrics[[#This Row],[觀看]],"")</f>
        <v/>
      </c>
      <c r="S199" s="4" t="str">
        <f>IFERROR(tblContentMetrics[[#This Row],[預約]]/tblContentMetrics[[#This Row],[LINE新增]],"")</f>
        <v/>
      </c>
      <c r="T199" s="4" t="str">
        <f>IFERROR(tblContentMetrics[[#This Row],[訂單]]/tblContentMetrics[[#This Row],[LINE新增]],"")</f>
        <v/>
      </c>
    </row>
    <row r="200" spans="17:20" ht="19.95" customHeight="1">
      <c r="Q200" s="4" t="str">
        <f>IFERROR((tblContentMetrics[[#This Row],[收藏]]+tblContentMetrics[[#This Row],[分享]]+tblContentMetrics[[#This Row],[留言]]+tblContentMetrics[[#This Row],[私訊]]) / tblContentMetrics[[#This Row],[觀看]],"")</f>
        <v/>
      </c>
      <c r="R200" s="4" t="str">
        <f>IFERROR(tblContentMetrics[[#This Row],[LINE新增]]/tblContentMetrics[[#This Row],[觀看]],"")</f>
        <v/>
      </c>
      <c r="S200" s="4" t="str">
        <f>IFERROR(tblContentMetrics[[#This Row],[預約]]/tblContentMetrics[[#This Row],[LINE新增]],"")</f>
        <v/>
      </c>
      <c r="T200" s="4" t="str">
        <f>IFERROR(tblContentMetrics[[#This Row],[訂單]]/tblContentMetrics[[#This Row],[LINE新增]],"")</f>
        <v/>
      </c>
    </row>
    <row r="201" spans="17:20" ht="19.95" customHeight="1">
      <c r="Q201" s="4" t="str">
        <f>IFERROR((tblContentMetrics[[#This Row],[收藏]]+tblContentMetrics[[#This Row],[分享]]+tblContentMetrics[[#This Row],[留言]]+tblContentMetrics[[#This Row],[私訊]]) / tblContentMetrics[[#This Row],[觀看]],"")</f>
        <v/>
      </c>
      <c r="R201" s="4" t="str">
        <f>IFERROR(tblContentMetrics[[#This Row],[LINE新增]]/tblContentMetrics[[#This Row],[觀看]],"")</f>
        <v/>
      </c>
      <c r="S201" s="4" t="str">
        <f>IFERROR(tblContentMetrics[[#This Row],[預約]]/tblContentMetrics[[#This Row],[LINE新增]],"")</f>
        <v/>
      </c>
      <c r="T201" s="4" t="str">
        <f>IFERROR(tblContentMetrics[[#This Row],[訂單]]/tblContentMetrics[[#This Row],[LINE新增]],"")</f>
        <v/>
      </c>
    </row>
    <row r="202" spans="17:20" ht="19.95" customHeight="1">
      <c r="Q202" s="4" t="str">
        <f>IFERROR((tblContentMetrics[[#This Row],[收藏]]+tblContentMetrics[[#This Row],[分享]]+tblContentMetrics[[#This Row],[留言]]+tblContentMetrics[[#This Row],[私訊]]) / tblContentMetrics[[#This Row],[觀看]],"")</f>
        <v/>
      </c>
      <c r="R202" s="4" t="str">
        <f>IFERROR(tblContentMetrics[[#This Row],[LINE新增]]/tblContentMetrics[[#This Row],[觀看]],"")</f>
        <v/>
      </c>
      <c r="S202" s="4" t="str">
        <f>IFERROR(tblContentMetrics[[#This Row],[預約]]/tblContentMetrics[[#This Row],[LINE新增]],"")</f>
        <v/>
      </c>
      <c r="T202" s="4" t="str">
        <f>IFERROR(tblContentMetrics[[#This Row],[訂單]]/tblContentMetrics[[#This Row],[LINE新增]],"")</f>
        <v/>
      </c>
    </row>
    <row r="203" spans="17:20" ht="19.95" customHeight="1">
      <c r="Q203" s="4" t="str">
        <f>IFERROR((tblContentMetrics[[#This Row],[收藏]]+tblContentMetrics[[#This Row],[分享]]+tblContentMetrics[[#This Row],[留言]]+tblContentMetrics[[#This Row],[私訊]]) / tblContentMetrics[[#This Row],[觀看]],"")</f>
        <v/>
      </c>
      <c r="R203" s="4" t="str">
        <f>IFERROR(tblContentMetrics[[#This Row],[LINE新增]]/tblContentMetrics[[#This Row],[觀看]],"")</f>
        <v/>
      </c>
      <c r="S203" s="4" t="str">
        <f>IFERROR(tblContentMetrics[[#This Row],[預約]]/tblContentMetrics[[#This Row],[LINE新增]],"")</f>
        <v/>
      </c>
      <c r="T203" s="4" t="str">
        <f>IFERROR(tblContentMetrics[[#This Row],[訂單]]/tblContentMetrics[[#This Row],[LINE新增]],"")</f>
        <v/>
      </c>
    </row>
    <row r="204" spans="17:20" ht="19.95" customHeight="1">
      <c r="Q204" s="4" t="str">
        <f>IFERROR((tblContentMetrics[[#This Row],[收藏]]+tblContentMetrics[[#This Row],[分享]]+tblContentMetrics[[#This Row],[留言]]+tblContentMetrics[[#This Row],[私訊]]) / tblContentMetrics[[#This Row],[觀看]],"")</f>
        <v/>
      </c>
      <c r="R204" s="4" t="str">
        <f>IFERROR(tblContentMetrics[[#This Row],[LINE新增]]/tblContentMetrics[[#This Row],[觀看]],"")</f>
        <v/>
      </c>
      <c r="S204" s="4" t="str">
        <f>IFERROR(tblContentMetrics[[#This Row],[預約]]/tblContentMetrics[[#This Row],[LINE新增]],"")</f>
        <v/>
      </c>
      <c r="T204" s="4" t="str">
        <f>IFERROR(tblContentMetrics[[#This Row],[訂單]]/tblContentMetrics[[#This Row],[LINE新增]],"")</f>
        <v/>
      </c>
    </row>
  </sheetData>
  <mergeCells count="2">
    <mergeCell ref="A1:M1"/>
    <mergeCell ref="A2:M2"/>
  </mergeCells>
  <phoneticPr fontId="8" type="noConversion"/>
  <dataValidations count="1">
    <dataValidation type="list" allowBlank="1" showInputMessage="1" showErrorMessage="1" sqref="C5:C204" xr:uid="{00000000-0002-0000-0C00-000000000000}">
      <formula1>PLATFORM_LIST</formula1>
    </dataValidation>
  </dataValidations>
  <pageMargins left="0.25" right="0.25" top="0.4" bottom="0.4" header="0.3" footer="0.3"/>
  <pageSetup fitToHeight="0" orientation="landscape"/>
  <headerFooter>
    <oddHeader>&amp;L希望之光 Hope Light&amp;C品牌營運管理系統&amp;R&amp;D</oddHeader>
    <oddFooter>&amp;L[Codex] 初版｜待確認資料不可直接對外&amp;R第 &amp;P / &amp;N 頁</oddFooter>
  </headerFooter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243B5A"/>
    <pageSetUpPr fitToPage="1"/>
  </sheetPr>
  <dimension ref="A1:U4"/>
  <sheetViews>
    <sheetView showGridLines="0" workbookViewId="0">
      <pane ySplit="4" topLeftCell="A5" activePane="bottomLeft" state="frozen"/>
      <selection pane="bottomLeft"/>
    </sheetView>
  </sheetViews>
  <sheetFormatPr defaultRowHeight="19.95" customHeight="1"/>
  <cols>
    <col min="1" max="1" width="14.75" customWidth="1"/>
    <col min="2" max="2" width="15.75" customWidth="1"/>
    <col min="3" max="3" width="18.75" customWidth="1"/>
    <col min="4" max="4" width="13.75" customWidth="1"/>
    <col min="5" max="5" width="15.75" customWidth="1"/>
    <col min="6" max="6" width="28.75" customWidth="1"/>
    <col min="7" max="7" width="42.75" customWidth="1"/>
    <col min="8" max="8" width="38.75" customWidth="1"/>
    <col min="9" max="9" width="45.75" customWidth="1"/>
    <col min="10" max="10" width="40.75" customWidth="1"/>
    <col min="11" max="11" width="15.75" customWidth="1"/>
    <col min="12" max="12" width="16.75" customWidth="1"/>
    <col min="13" max="13" width="13.75" customWidth="1"/>
    <col min="14" max="14" width="60.75" customWidth="1"/>
    <col min="15" max="15" width="12.75" customWidth="1"/>
    <col min="16" max="16" width="10.75" customWidth="1"/>
    <col min="17" max="18" width="13.75" customWidth="1"/>
    <col min="19" max="19" width="30.75" customWidth="1"/>
    <col min="20" max="20" width="13.75" customWidth="1"/>
    <col min="21" max="21" width="40.75" customWidth="1"/>
  </cols>
  <sheetData>
    <row r="1" spans="1:21" ht="34.049999999999997" customHeight="1">
      <c r="A1" s="9" t="s">
        <v>1060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2" spans="1:21" ht="31.05" customHeight="1">
      <c r="A2" s="10" t="s">
        <v>1061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4" spans="1:21" ht="19.95" customHeight="1">
      <c r="A4" t="s">
        <v>1062</v>
      </c>
      <c r="B4" t="s">
        <v>690</v>
      </c>
      <c r="C4" t="s">
        <v>1063</v>
      </c>
      <c r="D4" t="s">
        <v>1064</v>
      </c>
      <c r="E4" t="s">
        <v>1065</v>
      </c>
      <c r="F4" t="s">
        <v>1066</v>
      </c>
      <c r="G4" t="s">
        <v>1067</v>
      </c>
      <c r="H4" t="s">
        <v>1068</v>
      </c>
      <c r="I4" t="s">
        <v>757</v>
      </c>
      <c r="J4" t="s">
        <v>1069</v>
      </c>
      <c r="K4" t="s">
        <v>1070</v>
      </c>
      <c r="L4" t="s">
        <v>1071</v>
      </c>
      <c r="M4" t="s">
        <v>1072</v>
      </c>
      <c r="N4" t="s">
        <v>1073</v>
      </c>
      <c r="O4" t="s">
        <v>1074</v>
      </c>
      <c r="P4" t="s">
        <v>1075</v>
      </c>
      <c r="Q4" t="s">
        <v>79</v>
      </c>
      <c r="R4" t="s">
        <v>1041</v>
      </c>
      <c r="S4" t="s">
        <v>1076</v>
      </c>
      <c r="T4" t="s">
        <v>1077</v>
      </c>
      <c r="U4" t="s">
        <v>415</v>
      </c>
    </row>
  </sheetData>
  <mergeCells count="2">
    <mergeCell ref="A1:M1"/>
    <mergeCell ref="A2:M2"/>
  </mergeCells>
  <phoneticPr fontId="8" type="noConversion"/>
  <conditionalFormatting sqref="P5:P154">
    <cfRule type="containsText" dxfId="3" priority="1" operator="containsText" text="高">
      <formula>NOT(ISERROR(SEARCH("高",P5)))</formula>
    </cfRule>
  </conditionalFormatting>
  <dataValidations count="3">
    <dataValidation type="list" allowBlank="1" showInputMessage="1" showErrorMessage="1" sqref="K5:M154" xr:uid="{00000000-0002-0000-0D00-000000000000}">
      <formula1>YES_NO_UNKNOWN</formula1>
    </dataValidation>
    <dataValidation type="list" allowBlank="1" showInputMessage="1" showErrorMessage="1" sqref="P5:P154" xr:uid="{00000000-0002-0000-0D00-000001000000}">
      <formula1>RISK_LEVEL</formula1>
    </dataValidation>
    <dataValidation type="list" allowBlank="1" showInputMessage="1" showErrorMessage="1" sqref="Q5:Q154" xr:uid="{00000000-0002-0000-0D00-000002000000}">
      <formula1>GENERAL_STATUS</formula1>
    </dataValidation>
  </dataValidations>
  <pageMargins left="0.25" right="0.25" top="0.4" bottom="0.4" header="0.3" footer="0.3"/>
  <pageSetup fitToHeight="0" orientation="landscape"/>
  <headerFooter>
    <oddHeader>&amp;L希望之光 Hope Light&amp;C品牌營運管理系統&amp;R&amp;D</oddHeader>
    <oddFooter>&amp;L[Codex] 初版｜待確認資料不可直接對外&amp;R第 &amp;P / &amp;N 頁</oddFooter>
  </headerFooter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243B5A"/>
    <pageSetUpPr fitToPage="1"/>
  </sheetPr>
  <dimension ref="A1:R4"/>
  <sheetViews>
    <sheetView showGridLines="0" workbookViewId="0">
      <pane ySplit="4" topLeftCell="A5" activePane="bottomLeft" state="frozen"/>
      <selection pane="bottomLeft"/>
    </sheetView>
  </sheetViews>
  <sheetFormatPr defaultRowHeight="19.95" customHeight="1"/>
  <cols>
    <col min="1" max="1" width="15.75" customWidth="1"/>
    <col min="2" max="2" width="13.75" customWidth="1"/>
    <col min="3" max="3" width="15.75" customWidth="1"/>
    <col min="4" max="4" width="16.75" customWidth="1"/>
    <col min="5" max="5" width="14.75" customWidth="1"/>
    <col min="6" max="6" width="15.75" customWidth="1"/>
    <col min="7" max="7" width="30.75" customWidth="1"/>
    <col min="8" max="8" width="13.75" customWidth="1"/>
    <col min="9" max="9" width="18.75" customWidth="1"/>
    <col min="10" max="10" width="12.75" customWidth="1"/>
    <col min="11" max="11" width="30.75" customWidth="1"/>
    <col min="12" max="13" width="13.75" customWidth="1"/>
    <col min="14" max="14" width="17.75" customWidth="1"/>
    <col min="15" max="15" width="30.75" customWidth="1"/>
    <col min="16" max="16" width="12.75" customWidth="1"/>
    <col min="17" max="17" width="13.75" customWidth="1"/>
    <col min="18" max="18" width="40.75" customWidth="1"/>
  </cols>
  <sheetData>
    <row r="1" spans="1:18" ht="34.049999999999997" customHeight="1">
      <c r="A1" s="9" t="s">
        <v>1078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2" spans="1:18" ht="31.05" customHeight="1">
      <c r="A2" s="10" t="s">
        <v>1079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4" spans="1:18" ht="19.95" customHeight="1">
      <c r="A4" t="s">
        <v>1080</v>
      </c>
      <c r="B4" t="s">
        <v>1081</v>
      </c>
      <c r="C4" t="s">
        <v>690</v>
      </c>
      <c r="D4" t="s">
        <v>693</v>
      </c>
      <c r="E4" t="s">
        <v>692</v>
      </c>
      <c r="F4" t="s">
        <v>1082</v>
      </c>
      <c r="G4" t="s">
        <v>1083</v>
      </c>
      <c r="H4" t="s">
        <v>774</v>
      </c>
      <c r="I4" t="s">
        <v>1084</v>
      </c>
      <c r="J4" t="s">
        <v>1085</v>
      </c>
      <c r="K4" t="s">
        <v>1086</v>
      </c>
      <c r="L4" t="s">
        <v>1087</v>
      </c>
      <c r="M4" t="s">
        <v>1088</v>
      </c>
      <c r="N4" t="s">
        <v>688</v>
      </c>
      <c r="O4" t="s">
        <v>1089</v>
      </c>
      <c r="P4" t="s">
        <v>703</v>
      </c>
      <c r="Q4" t="s">
        <v>79</v>
      </c>
      <c r="R4" t="s">
        <v>415</v>
      </c>
    </row>
  </sheetData>
  <mergeCells count="2">
    <mergeCell ref="A1:M1"/>
    <mergeCell ref="A2:M2"/>
  </mergeCells>
  <phoneticPr fontId="8" type="noConversion"/>
  <dataValidations count="4">
    <dataValidation type="list" allowBlank="1" showInputMessage="1" showErrorMessage="1" sqref="E5:E304" xr:uid="{00000000-0002-0000-0E00-000000000000}">
      <formula1>CHANNEL_LIST</formula1>
    </dataValidation>
    <dataValidation type="list" allowBlank="1" showInputMessage="1" showErrorMessage="1" sqref="H5:H304" xr:uid="{00000000-0002-0000-0E00-000001000000}">
      <formula1>FUNNEL_STAGE</formula1>
    </dataValidation>
    <dataValidation type="list" allowBlank="1" showInputMessage="1" showErrorMessage="1" sqref="P5:P304" xr:uid="{00000000-0002-0000-0E00-000002000000}">
      <formula1>OWNER_LIST</formula1>
    </dataValidation>
    <dataValidation type="list" allowBlank="1" showInputMessage="1" showErrorMessage="1" sqref="Q5:Q304" xr:uid="{00000000-0002-0000-0E00-000003000000}">
      <formula1>GENERAL_STATUS</formula1>
    </dataValidation>
  </dataValidations>
  <pageMargins left="0.25" right="0.25" top="0.4" bottom="0.4" header="0.3" footer="0.3"/>
  <pageSetup fitToHeight="0" orientation="landscape"/>
  <headerFooter>
    <oddHeader>&amp;L希望之光 Hope Light&amp;C品牌營運管理系統&amp;R&amp;D</oddHeader>
    <oddFooter>&amp;L[Codex] 初版｜待確認資料不可直接對外&amp;R第 &amp;P / &amp;N 頁</oddFooter>
  </headerFooter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243B5A"/>
    <pageSetUpPr fitToPage="1"/>
  </sheetPr>
  <dimension ref="A1:M14"/>
  <sheetViews>
    <sheetView showGridLines="0" workbookViewId="0">
      <pane ySplit="4" topLeftCell="A5" activePane="bottomLeft" state="frozen"/>
      <selection pane="bottomLeft"/>
    </sheetView>
  </sheetViews>
  <sheetFormatPr defaultRowHeight="19.95" customHeight="1"/>
  <cols>
    <col min="1" max="1" width="20.75" customWidth="1"/>
    <col min="2" max="2" width="24.75" customWidth="1"/>
    <col min="3" max="3" width="32.75" customWidth="1"/>
    <col min="4" max="4" width="68.75" customWidth="1"/>
    <col min="5" max="5" width="48.75" customWidth="1"/>
    <col min="6" max="6" width="38.75" customWidth="1"/>
    <col min="7" max="7" width="20.75" customWidth="1"/>
    <col min="8" max="8" width="16.75" customWidth="1"/>
    <col min="9" max="9" width="45.75" customWidth="1"/>
    <col min="10" max="10" width="14.75" customWidth="1"/>
  </cols>
  <sheetData>
    <row r="1" spans="1:13" ht="34.049999999999997" customHeight="1">
      <c r="A1" s="9" t="s">
        <v>1090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2" spans="1:13" ht="31.05" customHeight="1">
      <c r="A2" s="10" t="s">
        <v>1091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4" spans="1:13" ht="19.95" customHeight="1">
      <c r="A4" t="s">
        <v>1092</v>
      </c>
      <c r="B4" t="s">
        <v>1093</v>
      </c>
      <c r="C4" t="s">
        <v>1094</v>
      </c>
      <c r="D4" t="s">
        <v>1095</v>
      </c>
      <c r="E4" t="s">
        <v>1096</v>
      </c>
      <c r="F4" t="s">
        <v>1097</v>
      </c>
      <c r="G4" t="s">
        <v>1098</v>
      </c>
      <c r="H4" t="s">
        <v>1099</v>
      </c>
      <c r="I4" t="s">
        <v>1100</v>
      </c>
      <c r="J4" t="s">
        <v>79</v>
      </c>
    </row>
    <row r="5" spans="1:13" ht="19.95" customHeight="1">
      <c r="A5" t="s">
        <v>1101</v>
      </c>
      <c r="B5" t="s">
        <v>1102</v>
      </c>
      <c r="C5" t="s">
        <v>1103</v>
      </c>
      <c r="D5" t="s">
        <v>1104</v>
      </c>
      <c r="E5" t="s">
        <v>1105</v>
      </c>
      <c r="F5" t="s">
        <v>1106</v>
      </c>
      <c r="G5" t="s">
        <v>1107</v>
      </c>
      <c r="H5" t="s">
        <v>1108</v>
      </c>
      <c r="I5" t="s">
        <v>1109</v>
      </c>
      <c r="J5" t="s">
        <v>425</v>
      </c>
    </row>
    <row r="6" spans="1:13" ht="19.95" customHeight="1">
      <c r="A6" t="s">
        <v>1110</v>
      </c>
      <c r="B6" t="s">
        <v>1111</v>
      </c>
      <c r="C6" t="s">
        <v>1112</v>
      </c>
      <c r="D6" t="s">
        <v>1113</v>
      </c>
      <c r="E6" t="s">
        <v>1114</v>
      </c>
      <c r="F6" t="s">
        <v>1115</v>
      </c>
      <c r="G6" t="s">
        <v>1116</v>
      </c>
      <c r="H6" t="s">
        <v>1108</v>
      </c>
      <c r="I6" t="s">
        <v>1117</v>
      </c>
      <c r="J6" t="s">
        <v>425</v>
      </c>
    </row>
    <row r="7" spans="1:13" ht="19.95" customHeight="1">
      <c r="A7" t="s">
        <v>1118</v>
      </c>
      <c r="B7" t="s">
        <v>1119</v>
      </c>
      <c r="C7" t="s">
        <v>1120</v>
      </c>
      <c r="D7" t="s">
        <v>1121</v>
      </c>
      <c r="E7" t="s">
        <v>1122</v>
      </c>
      <c r="F7" t="s">
        <v>1123</v>
      </c>
      <c r="G7" t="s">
        <v>1124</v>
      </c>
      <c r="H7" t="s">
        <v>1108</v>
      </c>
      <c r="I7" t="s">
        <v>1125</v>
      </c>
      <c r="J7" t="s">
        <v>1126</v>
      </c>
    </row>
    <row r="8" spans="1:13" ht="19.95" customHeight="1">
      <c r="A8" t="s">
        <v>1127</v>
      </c>
      <c r="B8" t="s">
        <v>1128</v>
      </c>
      <c r="C8" t="s">
        <v>1129</v>
      </c>
      <c r="D8" t="s">
        <v>1130</v>
      </c>
      <c r="E8" t="s">
        <v>1131</v>
      </c>
      <c r="F8" t="s">
        <v>1132</v>
      </c>
      <c r="G8" t="s">
        <v>1133</v>
      </c>
      <c r="H8" t="s">
        <v>1134</v>
      </c>
      <c r="I8" t="s">
        <v>1135</v>
      </c>
      <c r="J8" t="s">
        <v>1136</v>
      </c>
    </row>
    <row r="9" spans="1:13" ht="19.95" customHeight="1">
      <c r="A9" t="s">
        <v>1137</v>
      </c>
      <c r="B9" t="s">
        <v>1138</v>
      </c>
      <c r="C9" t="s">
        <v>1139</v>
      </c>
      <c r="D9" t="s">
        <v>1140</v>
      </c>
      <c r="E9" t="s">
        <v>1141</v>
      </c>
      <c r="F9" t="s">
        <v>1142</v>
      </c>
      <c r="G9" t="s">
        <v>1143</v>
      </c>
      <c r="H9" t="s">
        <v>1134</v>
      </c>
      <c r="I9" t="s">
        <v>1144</v>
      </c>
      <c r="J9" t="s">
        <v>458</v>
      </c>
    </row>
    <row r="10" spans="1:13" ht="19.95" customHeight="1">
      <c r="A10" t="s">
        <v>1145</v>
      </c>
      <c r="B10" t="s">
        <v>1146</v>
      </c>
      <c r="C10" t="s">
        <v>1147</v>
      </c>
      <c r="D10" t="s">
        <v>1148</v>
      </c>
      <c r="E10" t="s">
        <v>1149</v>
      </c>
      <c r="F10" t="s">
        <v>1150</v>
      </c>
      <c r="G10" t="s">
        <v>1151</v>
      </c>
      <c r="H10" t="s">
        <v>1108</v>
      </c>
      <c r="I10" t="s">
        <v>1152</v>
      </c>
      <c r="J10" t="s">
        <v>1153</v>
      </c>
    </row>
    <row r="11" spans="1:13" ht="19.95" customHeight="1">
      <c r="A11" t="s">
        <v>1154</v>
      </c>
      <c r="B11" t="s">
        <v>1155</v>
      </c>
      <c r="C11" t="s">
        <v>1156</v>
      </c>
      <c r="D11" t="s">
        <v>1157</v>
      </c>
      <c r="E11" t="s">
        <v>1158</v>
      </c>
      <c r="F11" t="s">
        <v>1159</v>
      </c>
      <c r="G11" t="s">
        <v>1160</v>
      </c>
      <c r="H11" t="s">
        <v>1161</v>
      </c>
      <c r="I11" t="s">
        <v>1162</v>
      </c>
      <c r="J11" t="s">
        <v>1163</v>
      </c>
    </row>
    <row r="12" spans="1:13" ht="19.95" customHeight="1">
      <c r="A12" t="s">
        <v>1164</v>
      </c>
      <c r="B12" t="s">
        <v>1165</v>
      </c>
      <c r="C12" t="s">
        <v>1166</v>
      </c>
      <c r="D12" t="s">
        <v>1167</v>
      </c>
      <c r="E12" t="s">
        <v>1168</v>
      </c>
      <c r="F12" t="s">
        <v>1169</v>
      </c>
      <c r="G12" t="s">
        <v>1170</v>
      </c>
      <c r="H12" t="s">
        <v>1171</v>
      </c>
      <c r="I12" t="s">
        <v>1172</v>
      </c>
      <c r="J12" t="s">
        <v>1163</v>
      </c>
    </row>
    <row r="13" spans="1:13" ht="19.95" customHeight="1">
      <c r="A13" t="s">
        <v>55</v>
      </c>
      <c r="B13" t="s">
        <v>1173</v>
      </c>
      <c r="C13" t="s">
        <v>1174</v>
      </c>
      <c r="D13" t="s">
        <v>1175</v>
      </c>
      <c r="E13" t="s">
        <v>1176</v>
      </c>
      <c r="F13" t="s">
        <v>1177</v>
      </c>
      <c r="G13" t="s">
        <v>1178</v>
      </c>
      <c r="H13" t="s">
        <v>1179</v>
      </c>
      <c r="I13" t="s">
        <v>1180</v>
      </c>
      <c r="J13" t="s">
        <v>425</v>
      </c>
    </row>
    <row r="14" spans="1:13" ht="19.95" customHeight="1">
      <c r="A14" t="s">
        <v>1181</v>
      </c>
      <c r="B14" t="s">
        <v>1182</v>
      </c>
      <c r="C14" t="s">
        <v>1183</v>
      </c>
      <c r="D14" t="s">
        <v>1184</v>
      </c>
      <c r="E14" t="s">
        <v>1185</v>
      </c>
      <c r="F14" t="s">
        <v>1186</v>
      </c>
      <c r="G14" t="s">
        <v>1187</v>
      </c>
      <c r="H14" t="s">
        <v>1188</v>
      </c>
      <c r="I14" t="s">
        <v>1189</v>
      </c>
      <c r="J14" t="s">
        <v>1190</v>
      </c>
    </row>
  </sheetData>
  <mergeCells count="2">
    <mergeCell ref="A1:M1"/>
    <mergeCell ref="A2:M2"/>
  </mergeCells>
  <phoneticPr fontId="8" type="noConversion"/>
  <conditionalFormatting sqref="I5:I14">
    <cfRule type="containsText" dxfId="2" priority="1" operator="containsText" text="治療">
      <formula>NOT(ISERROR(SEARCH("治療",I5)))</formula>
    </cfRule>
  </conditionalFormatting>
  <pageMargins left="0.25" right="0.25" top="0.4" bottom="0.4" header="0.3" footer="0.3"/>
  <pageSetup fitToHeight="0" orientation="landscape"/>
  <headerFooter>
    <oddHeader>&amp;L希望之光 Hope Light&amp;C品牌營運管理系統&amp;R&amp;D</oddHeader>
    <oddFooter>&amp;L[Codex] 初版｜待確認資料不可直接對外&amp;R第 &amp;P / &amp;N 頁</oddFooter>
  </headerFooter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D3A647"/>
    <pageSetUpPr fitToPage="1"/>
  </sheetPr>
  <dimension ref="A1:M36"/>
  <sheetViews>
    <sheetView showGridLines="0" workbookViewId="0">
      <pane ySplit="13" topLeftCell="A14" activePane="bottomLeft" state="frozen"/>
      <selection pane="bottomLeft"/>
    </sheetView>
  </sheetViews>
  <sheetFormatPr defaultRowHeight="19.95" customHeight="1"/>
  <cols>
    <col min="1" max="1" width="18.75" customWidth="1"/>
    <col min="2" max="2" width="35.75" customWidth="1"/>
    <col min="3" max="3" width="12.75" customWidth="1"/>
    <col min="4" max="4" width="14.75" style="6" customWidth="1"/>
    <col min="5" max="5" width="12.75" style="6" customWidth="1"/>
    <col min="6" max="7" width="14.75" style="6" customWidth="1"/>
    <col min="8" max="8" width="13.75" customWidth="1"/>
    <col min="9" max="9" width="15.75" style="4" customWidth="1"/>
    <col min="10" max="10" width="14.75" style="6" customWidth="1"/>
    <col min="11" max="11" width="45.75" customWidth="1"/>
  </cols>
  <sheetData>
    <row r="1" spans="1:13" ht="34.049999999999997" customHeight="1">
      <c r="A1" s="9" t="s">
        <v>1191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2" spans="1:13" ht="31.05" customHeight="1">
      <c r="A2" s="10" t="s">
        <v>1192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4" spans="1:13" ht="19.95" customHeight="1">
      <c r="B4" s="11" t="s">
        <v>1193</v>
      </c>
      <c r="C4" s="11"/>
      <c r="D4" s="11"/>
      <c r="E4" s="11"/>
      <c r="F4" s="11"/>
      <c r="H4" s="11" t="s">
        <v>1205</v>
      </c>
      <c r="I4" s="11"/>
      <c r="J4" s="11"/>
    </row>
    <row r="5" spans="1:13" ht="19.95" customHeight="1">
      <c r="B5" s="1" t="s">
        <v>1194</v>
      </c>
      <c r="C5" s="2"/>
      <c r="D5" s="12" t="s">
        <v>1195</v>
      </c>
      <c r="E5" s="12"/>
      <c r="F5" s="12"/>
      <c r="H5" s="3" t="s">
        <v>1206</v>
      </c>
      <c r="I5" s="16">
        <f>SUM(tblShare[期間實收])</f>
        <v>0</v>
      </c>
      <c r="J5" s="16"/>
    </row>
    <row r="6" spans="1:13" ht="19.95" customHeight="1">
      <c r="B6" s="1" t="s">
        <v>1196</v>
      </c>
      <c r="C6" s="2"/>
      <c r="D6" s="12" t="s">
        <v>1195</v>
      </c>
      <c r="E6" s="12"/>
      <c r="F6" s="12"/>
      <c r="H6" s="3" t="s">
        <v>1207</v>
      </c>
      <c r="I6" s="16">
        <f>SUM(tblShare[產品成本])</f>
        <v>0</v>
      </c>
      <c r="J6" s="16"/>
    </row>
    <row r="7" spans="1:13" ht="19.95" customHeight="1">
      <c r="B7" s="1" t="s">
        <v>1197</v>
      </c>
      <c r="C7" s="2">
        <v>0</v>
      </c>
      <c r="D7" s="12" t="s">
        <v>1198</v>
      </c>
      <c r="E7" s="12"/>
      <c r="F7" s="12"/>
      <c r="H7" s="3" t="s">
        <v>1208</v>
      </c>
      <c r="I7" s="16">
        <f>SUM(tblShare[期間毛利])</f>
        <v>0</v>
      </c>
      <c r="J7" s="16"/>
    </row>
    <row r="8" spans="1:13" ht="19.95" customHeight="1">
      <c r="B8" s="1" t="s">
        <v>1199</v>
      </c>
      <c r="C8" s="2">
        <v>0</v>
      </c>
      <c r="D8" s="12" t="s">
        <v>1200</v>
      </c>
      <c r="E8" s="12"/>
      <c r="F8" s="12"/>
      <c r="H8" s="3" t="s">
        <v>1209</v>
      </c>
      <c r="I8" s="16">
        <f>MAX(0,I5-$C$8)</f>
        <v>0</v>
      </c>
      <c r="J8" s="16"/>
    </row>
    <row r="9" spans="1:13" ht="19.95" customHeight="1">
      <c r="B9" s="1" t="s">
        <v>1201</v>
      </c>
      <c r="C9" s="4">
        <v>0</v>
      </c>
      <c r="D9" s="12" t="s">
        <v>1202</v>
      </c>
      <c r="E9" s="12"/>
      <c r="F9" s="12"/>
      <c r="H9" s="3" t="s">
        <v>1210</v>
      </c>
      <c r="I9" s="16">
        <f>I8*$C$9</f>
        <v>0</v>
      </c>
      <c r="J9" s="16"/>
    </row>
    <row r="10" spans="1:13" ht="19.95" customHeight="1">
      <c r="B10" s="1" t="s">
        <v>1203</v>
      </c>
      <c r="C10" s="2">
        <v>0</v>
      </c>
      <c r="D10" s="12" t="s">
        <v>1204</v>
      </c>
      <c r="E10" s="12"/>
      <c r="F10" s="12"/>
      <c r="H10" s="3" t="s">
        <v>1211</v>
      </c>
      <c r="I10" s="16">
        <f>SUM(tblShare[新產品分潤])</f>
        <v>0</v>
      </c>
      <c r="J10" s="16"/>
    </row>
    <row r="11" spans="1:13" ht="19.95" customHeight="1">
      <c r="H11" s="3" t="s">
        <v>1212</v>
      </c>
      <c r="I11" s="16">
        <f>$C$7+I9+I10</f>
        <v>0</v>
      </c>
      <c r="J11" s="16"/>
    </row>
    <row r="13" spans="1:13" ht="19.95" customHeight="1">
      <c r="A13" t="s">
        <v>399</v>
      </c>
      <c r="B13" t="s">
        <v>666</v>
      </c>
      <c r="C13" t="s">
        <v>1213</v>
      </c>
      <c r="D13" s="6" t="s">
        <v>1206</v>
      </c>
      <c r="E13" s="6" t="s">
        <v>407</v>
      </c>
      <c r="F13" s="6" t="s">
        <v>1207</v>
      </c>
      <c r="G13" s="6" t="s">
        <v>1208</v>
      </c>
      <c r="H13" t="s">
        <v>1214</v>
      </c>
      <c r="I13" s="4" t="s">
        <v>1215</v>
      </c>
      <c r="J13" s="6" t="s">
        <v>1211</v>
      </c>
      <c r="K13" t="s">
        <v>415</v>
      </c>
    </row>
    <row r="14" spans="1:13" ht="19.95" customHeight="1">
      <c r="A14" t="s">
        <v>416</v>
      </c>
      <c r="B14" t="s">
        <v>418</v>
      </c>
      <c r="C14">
        <f>IF(OR($C$5="",$C$6=""),0,SUMIFS(tblSales[數量],tblSales[SKU],tblShare[[#This Row],[SKU]],tblSales[訂單日期],"&gt;="&amp;$C$5,tblSales[訂單日期],"&lt;="&amp;$C$6,tblSales[付款狀態],"已付款"))</f>
        <v>0</v>
      </c>
      <c r="D14" s="6">
        <f>IF(OR($C$5="",$C$6=""),0,SUMIFS(tblSales[實收金額],tblSales[SKU],tblShare[[#This Row],[SKU]],tblSales[訂單日期],"&gt;="&amp;$C$5,tblSales[訂單日期],"&lt;="&amp;$C$6,tblSales[付款狀態],"已付款"))</f>
        <v>0</v>
      </c>
      <c r="E14" s="6">
        <v>8400</v>
      </c>
      <c r="F14" s="6">
        <f>IF(tblShare[[#This Row],[單位成本]]="",0,tblShare[[#This Row],[期間數量]]*tblShare[[#This Row],[單位成本]])</f>
        <v>0</v>
      </c>
      <c r="G14" s="6">
        <f>tblShare[[#This Row],[期間實收]]-tblShare[[#This Row],[產品成本]]</f>
        <v>0</v>
      </c>
      <c r="H14" t="s">
        <v>507</v>
      </c>
      <c r="I14" s="4">
        <v>0</v>
      </c>
      <c r="J14" s="6">
        <f>IF(tblShare[[#This Row],[是否新產品]]="是",MAX(0,tblShare[[#This Row],[期間毛利]])*tblShare[[#This Row],[新產品分潤率]],0)</f>
        <v>0</v>
      </c>
      <c r="K14" t="s">
        <v>1216</v>
      </c>
    </row>
    <row r="15" spans="1:13" ht="19.95" customHeight="1">
      <c r="A15" t="s">
        <v>427</v>
      </c>
      <c r="B15" t="s">
        <v>428</v>
      </c>
      <c r="C15">
        <f>IF(OR($C$5="",$C$6=""),0,SUMIFS(tblSales[數量],tblSales[SKU],tblShare[[#This Row],[SKU]],tblSales[訂單日期],"&gt;="&amp;$C$5,tblSales[訂單日期],"&lt;="&amp;$C$6,tblSales[付款狀態],"已付款"))</f>
        <v>0</v>
      </c>
      <c r="D15" s="6">
        <f>IF(OR($C$5="",$C$6=""),0,SUMIFS(tblSales[實收金額],tblSales[SKU],tblShare[[#This Row],[SKU]],tblSales[訂單日期],"&gt;="&amp;$C$5,tblSales[訂單日期],"&lt;="&amp;$C$6,tblSales[付款狀態],"已付款"))</f>
        <v>0</v>
      </c>
      <c r="E15" s="6">
        <v>12450</v>
      </c>
      <c r="F15" s="6">
        <f>IF(tblShare[[#This Row],[單位成本]]="",0,tblShare[[#This Row],[期間數量]]*tblShare[[#This Row],[單位成本]])</f>
        <v>0</v>
      </c>
      <c r="G15" s="6">
        <f>tblShare[[#This Row],[期間實收]]-tblShare[[#This Row],[產品成本]]</f>
        <v>0</v>
      </c>
      <c r="H15" t="s">
        <v>507</v>
      </c>
      <c r="I15" s="4">
        <v>0</v>
      </c>
      <c r="J15" s="6">
        <f>IF(tblShare[[#This Row],[是否新產品]]="是",MAX(0,tblShare[[#This Row],[期間毛利]])*tblShare[[#This Row],[新產品分潤率]],0)</f>
        <v>0</v>
      </c>
      <c r="K15" t="s">
        <v>1216</v>
      </c>
    </row>
    <row r="16" spans="1:13" ht="19.95" customHeight="1">
      <c r="A16" t="s">
        <v>432</v>
      </c>
      <c r="B16" t="s">
        <v>433</v>
      </c>
      <c r="C16">
        <f>IF(OR($C$5="",$C$6=""),0,SUMIFS(tblSales[數量],tblSales[SKU],tblShare[[#This Row],[SKU]],tblSales[訂單日期],"&gt;="&amp;$C$5,tblSales[訂單日期],"&lt;="&amp;$C$6,tblSales[付款狀態],"已付款"))</f>
        <v>0</v>
      </c>
      <c r="D16" s="6">
        <f>IF(OR($C$5="",$C$6=""),0,SUMIFS(tblSales[實收金額],tblSales[SKU],tblShare[[#This Row],[SKU]],tblSales[訂單日期],"&gt;="&amp;$C$5,tblSales[訂單日期],"&lt;="&amp;$C$6,tblSales[付款狀態],"已付款"))</f>
        <v>0</v>
      </c>
      <c r="E16" s="6">
        <v>8400</v>
      </c>
      <c r="F16" s="6">
        <f>IF(tblShare[[#This Row],[單位成本]]="",0,tblShare[[#This Row],[期間數量]]*tblShare[[#This Row],[單位成本]])</f>
        <v>0</v>
      </c>
      <c r="G16" s="6">
        <f>tblShare[[#This Row],[期間實收]]-tblShare[[#This Row],[產品成本]]</f>
        <v>0</v>
      </c>
      <c r="H16" t="s">
        <v>507</v>
      </c>
      <c r="I16" s="4">
        <v>0</v>
      </c>
      <c r="J16" s="6">
        <f>IF(tblShare[[#This Row],[是否新產品]]="是",MAX(0,tblShare[[#This Row],[期間毛利]])*tblShare[[#This Row],[新產品分潤率]],0)</f>
        <v>0</v>
      </c>
      <c r="K16" t="s">
        <v>1216</v>
      </c>
    </row>
    <row r="17" spans="1:11" ht="19.95" customHeight="1">
      <c r="A17" t="s">
        <v>437</v>
      </c>
      <c r="B17" t="s">
        <v>438</v>
      </c>
      <c r="C17">
        <f>IF(OR($C$5="",$C$6=""),0,SUMIFS(tblSales[數量],tblSales[SKU],tblShare[[#This Row],[SKU]],tblSales[訂單日期],"&gt;="&amp;$C$5,tblSales[訂單日期],"&lt;="&amp;$C$6,tblSales[付款狀態],"已付款"))</f>
        <v>0</v>
      </c>
      <c r="D17" s="6">
        <f>IF(OR($C$5="",$C$6=""),0,SUMIFS(tblSales[實收金額],tblSales[SKU],tblShare[[#This Row],[SKU]],tblSales[訂單日期],"&gt;="&amp;$C$5,tblSales[訂單日期],"&lt;="&amp;$C$6,tblSales[付款狀態],"已付款"))</f>
        <v>0</v>
      </c>
      <c r="E17" s="6">
        <v>5000</v>
      </c>
      <c r="F17" s="6">
        <f>IF(tblShare[[#This Row],[單位成本]]="",0,tblShare[[#This Row],[期間數量]]*tblShare[[#This Row],[單位成本]])</f>
        <v>0</v>
      </c>
      <c r="G17" s="6">
        <f>tblShare[[#This Row],[期間實收]]-tblShare[[#This Row],[產品成本]]</f>
        <v>0</v>
      </c>
      <c r="H17" t="s">
        <v>507</v>
      </c>
      <c r="I17" s="4">
        <v>0</v>
      </c>
      <c r="J17" s="6">
        <f>IF(tblShare[[#This Row],[是否新產品]]="是",MAX(0,tblShare[[#This Row],[期間毛利]])*tblShare[[#This Row],[新產品分潤率]],0)</f>
        <v>0</v>
      </c>
      <c r="K17" t="s">
        <v>1216</v>
      </c>
    </row>
    <row r="18" spans="1:11" ht="19.95" customHeight="1">
      <c r="A18" t="s">
        <v>443</v>
      </c>
      <c r="B18" t="s">
        <v>444</v>
      </c>
      <c r="C18">
        <f>IF(OR($C$5="",$C$6=""),0,SUMIFS(tblSales[數量],tblSales[SKU],tblShare[[#This Row],[SKU]],tblSales[訂單日期],"&gt;="&amp;$C$5,tblSales[訂單日期],"&lt;="&amp;$C$6,tblSales[付款狀態],"已付款"))</f>
        <v>0</v>
      </c>
      <c r="D18" s="6">
        <f>IF(OR($C$5="",$C$6=""),0,SUMIFS(tblSales[實收金額],tblSales[SKU],tblShare[[#This Row],[SKU]],tblSales[訂單日期],"&gt;="&amp;$C$5,tblSales[訂單日期],"&lt;="&amp;$C$6,tblSales[付款狀態],"已付款"))</f>
        <v>0</v>
      </c>
      <c r="E18" s="6">
        <v>5000</v>
      </c>
      <c r="F18" s="6">
        <f>IF(tblShare[[#This Row],[單位成本]]="",0,tblShare[[#This Row],[期間數量]]*tblShare[[#This Row],[單位成本]])</f>
        <v>0</v>
      </c>
      <c r="G18" s="6">
        <f>tblShare[[#This Row],[期間實收]]-tblShare[[#This Row],[產品成本]]</f>
        <v>0</v>
      </c>
      <c r="H18" t="s">
        <v>507</v>
      </c>
      <c r="I18" s="4">
        <v>0</v>
      </c>
      <c r="J18" s="6">
        <f>IF(tblShare[[#This Row],[是否新產品]]="是",MAX(0,tblShare[[#This Row],[期間毛利]])*tblShare[[#This Row],[新產品分潤率]],0)</f>
        <v>0</v>
      </c>
      <c r="K18" t="s">
        <v>1216</v>
      </c>
    </row>
    <row r="19" spans="1:11" ht="19.95" customHeight="1">
      <c r="A19" t="s">
        <v>446</v>
      </c>
      <c r="B19" t="s">
        <v>448</v>
      </c>
      <c r="C19">
        <f>IF(OR($C$5="",$C$6=""),0,SUMIFS(tblSales[數量],tblSales[SKU],tblShare[[#This Row],[SKU]],tblSales[訂單日期],"&gt;="&amp;$C$5,tblSales[訂單日期],"&lt;="&amp;$C$6,tblSales[付款狀態],"已付款"))</f>
        <v>0</v>
      </c>
      <c r="D19" s="6">
        <f>IF(OR($C$5="",$C$6=""),0,SUMIFS(tblSales[實收金額],tblSales[SKU],tblShare[[#This Row],[SKU]],tblSales[訂單日期],"&gt;="&amp;$C$5,tblSales[訂單日期],"&lt;="&amp;$C$6,tblSales[付款狀態],"已付款"))</f>
        <v>0</v>
      </c>
      <c r="E19" s="6">
        <v>5000</v>
      </c>
      <c r="F19" s="6">
        <f>IF(tblShare[[#This Row],[單位成本]]="",0,tblShare[[#This Row],[期間數量]]*tblShare[[#This Row],[單位成本]])</f>
        <v>0</v>
      </c>
      <c r="G19" s="6">
        <f>tblShare[[#This Row],[期間實收]]-tblShare[[#This Row],[產品成本]]</f>
        <v>0</v>
      </c>
      <c r="H19" t="s">
        <v>507</v>
      </c>
      <c r="I19" s="4">
        <v>0</v>
      </c>
      <c r="J19" s="6">
        <f>IF(tblShare[[#This Row],[是否新產品]]="是",MAX(0,tblShare[[#This Row],[期間毛利]])*tblShare[[#This Row],[新產品分潤率]],0)</f>
        <v>0</v>
      </c>
      <c r="K19" t="s">
        <v>1216</v>
      </c>
    </row>
    <row r="20" spans="1:11" ht="19.95" customHeight="1">
      <c r="A20" t="s">
        <v>451</v>
      </c>
      <c r="B20" t="s">
        <v>452</v>
      </c>
      <c r="C20">
        <f>IF(OR($C$5="",$C$6=""),0,SUMIFS(tblSales[數量],tblSales[SKU],tblShare[[#This Row],[SKU]],tblSales[訂單日期],"&gt;="&amp;$C$5,tblSales[訂單日期],"&lt;="&amp;$C$6,tblSales[付款狀態],"已付款"))</f>
        <v>0</v>
      </c>
      <c r="D20" s="6">
        <f>IF(OR($C$5="",$C$6=""),0,SUMIFS(tblSales[實收金額],tblSales[SKU],tblShare[[#This Row],[SKU]],tblSales[訂單日期],"&gt;="&amp;$C$5,tblSales[訂單日期],"&lt;="&amp;$C$6,tblSales[付款狀態],"已付款"))</f>
        <v>0</v>
      </c>
      <c r="E20" s="6">
        <v>5000</v>
      </c>
      <c r="F20" s="6">
        <f>IF(tblShare[[#This Row],[單位成本]]="",0,tblShare[[#This Row],[期間數量]]*tblShare[[#This Row],[單位成本]])</f>
        <v>0</v>
      </c>
      <c r="G20" s="6">
        <f>tblShare[[#This Row],[期間實收]]-tblShare[[#This Row],[產品成本]]</f>
        <v>0</v>
      </c>
      <c r="H20" t="s">
        <v>507</v>
      </c>
      <c r="I20" s="4">
        <v>0</v>
      </c>
      <c r="J20" s="6">
        <f>IF(tblShare[[#This Row],[是否新產品]]="是",MAX(0,tblShare[[#This Row],[期間毛利]])*tblShare[[#This Row],[新產品分潤率]],0)</f>
        <v>0</v>
      </c>
      <c r="K20" t="s">
        <v>1216</v>
      </c>
    </row>
    <row r="21" spans="1:11" ht="19.95" customHeight="1">
      <c r="A21" t="s">
        <v>454</v>
      </c>
      <c r="B21" t="s">
        <v>455</v>
      </c>
      <c r="C21">
        <f>IF(OR($C$5="",$C$6=""),0,SUMIFS(tblSales[數量],tblSales[SKU],tblShare[[#This Row],[SKU]],tblSales[訂單日期],"&gt;="&amp;$C$5,tblSales[訂單日期],"&lt;="&amp;$C$6,tblSales[付款狀態],"已付款"))</f>
        <v>0</v>
      </c>
      <c r="D21" s="6">
        <f>IF(OR($C$5="",$C$6=""),0,SUMIFS(tblSales[實收金額],tblSales[SKU],tblShare[[#This Row],[SKU]],tblSales[訂單日期],"&gt;="&amp;$C$5,tblSales[訂單日期],"&lt;="&amp;$C$6,tblSales[付款狀態],"已付款"))</f>
        <v>0</v>
      </c>
      <c r="F21" s="6">
        <f>IF(tblShare[[#This Row],[單位成本]]="",0,tblShare[[#This Row],[期間數量]]*tblShare[[#This Row],[單位成本]])</f>
        <v>0</v>
      </c>
      <c r="G21" s="6">
        <f>tblShare[[#This Row],[期間實收]]-tblShare[[#This Row],[產品成本]]</f>
        <v>0</v>
      </c>
      <c r="H21" t="s">
        <v>507</v>
      </c>
      <c r="I21" s="4">
        <v>0</v>
      </c>
      <c r="J21" s="6">
        <f>IF(tblShare[[#This Row],[是否新產品]]="是",MAX(0,tblShare[[#This Row],[期間毛利]])*tblShare[[#This Row],[新產品分潤率]],0)</f>
        <v>0</v>
      </c>
      <c r="K21" t="s">
        <v>1216</v>
      </c>
    </row>
    <row r="22" spans="1:11" ht="19.95" customHeight="1">
      <c r="A22" t="s">
        <v>460</v>
      </c>
      <c r="B22" t="s">
        <v>462</v>
      </c>
      <c r="C22">
        <f>IF(OR($C$5="",$C$6=""),0,SUMIFS(tblSales[數量],tblSales[SKU],tblShare[[#This Row],[SKU]],tblSales[訂單日期],"&gt;="&amp;$C$5,tblSales[訂單日期],"&lt;="&amp;$C$6,tblSales[付款狀態],"已付款"))</f>
        <v>0</v>
      </c>
      <c r="D22" s="6">
        <f>IF(OR($C$5="",$C$6=""),0,SUMIFS(tblSales[實收金額],tblSales[SKU],tblShare[[#This Row],[SKU]],tblSales[訂單日期],"&gt;="&amp;$C$5,tblSales[訂單日期],"&lt;="&amp;$C$6,tblSales[付款狀態],"已付款"))</f>
        <v>0</v>
      </c>
      <c r="E22" s="6">
        <v>65</v>
      </c>
      <c r="F22" s="6">
        <f>IF(tblShare[[#This Row],[單位成本]]="",0,tblShare[[#This Row],[期間數量]]*tblShare[[#This Row],[單位成本]])</f>
        <v>0</v>
      </c>
      <c r="G22" s="6">
        <f>tblShare[[#This Row],[期間實收]]-tblShare[[#This Row],[產品成本]]</f>
        <v>0</v>
      </c>
      <c r="H22" t="s">
        <v>507</v>
      </c>
      <c r="I22" s="4">
        <v>0</v>
      </c>
      <c r="J22" s="6">
        <f>IF(tblShare[[#This Row],[是否新產品]]="是",MAX(0,tblShare[[#This Row],[期間毛利]])*tblShare[[#This Row],[新產品分潤率]],0)</f>
        <v>0</v>
      </c>
      <c r="K22" t="s">
        <v>1216</v>
      </c>
    </row>
    <row r="23" spans="1:11" ht="19.95" customHeight="1">
      <c r="A23" t="s">
        <v>468</v>
      </c>
      <c r="B23" t="s">
        <v>469</v>
      </c>
      <c r="C23">
        <f>IF(OR($C$5="",$C$6=""),0,SUMIFS(tblSales[數量],tblSales[SKU],tblShare[[#This Row],[SKU]],tblSales[訂單日期],"&gt;="&amp;$C$5,tblSales[訂單日期],"&lt;="&amp;$C$6,tblSales[付款狀態],"已付款"))</f>
        <v>0</v>
      </c>
      <c r="D23" s="6">
        <f>IF(OR($C$5="",$C$6=""),0,SUMIFS(tblSales[實收金額],tblSales[SKU],tblShare[[#This Row],[SKU]],tblSales[訂單日期],"&gt;="&amp;$C$5,tblSales[訂單日期],"&lt;="&amp;$C$6,tblSales[付款狀態],"已付款"))</f>
        <v>0</v>
      </c>
      <c r="E23" s="6">
        <v>65</v>
      </c>
      <c r="F23" s="6">
        <f>IF(tblShare[[#This Row],[單位成本]]="",0,tblShare[[#This Row],[期間數量]]*tblShare[[#This Row],[單位成本]])</f>
        <v>0</v>
      </c>
      <c r="G23" s="6">
        <f>tblShare[[#This Row],[期間實收]]-tblShare[[#This Row],[產品成本]]</f>
        <v>0</v>
      </c>
      <c r="H23" t="s">
        <v>507</v>
      </c>
      <c r="I23" s="4">
        <v>0</v>
      </c>
      <c r="J23" s="6">
        <f>IF(tblShare[[#This Row],[是否新產品]]="是",MAX(0,tblShare[[#This Row],[期間毛利]])*tblShare[[#This Row],[新產品分潤率]],0)</f>
        <v>0</v>
      </c>
      <c r="K23" t="s">
        <v>1216</v>
      </c>
    </row>
    <row r="24" spans="1:11" ht="19.95" customHeight="1">
      <c r="A24" t="s">
        <v>470</v>
      </c>
      <c r="B24" t="s">
        <v>471</v>
      </c>
      <c r="C24">
        <f>IF(OR($C$5="",$C$6=""),0,SUMIFS(tblSales[數量],tblSales[SKU],tblShare[[#This Row],[SKU]],tblSales[訂單日期],"&gt;="&amp;$C$5,tblSales[訂單日期],"&lt;="&amp;$C$6,tblSales[付款狀態],"已付款"))</f>
        <v>0</v>
      </c>
      <c r="D24" s="6">
        <f>IF(OR($C$5="",$C$6=""),0,SUMIFS(tblSales[實收金額],tblSales[SKU],tblShare[[#This Row],[SKU]],tblSales[訂單日期],"&gt;="&amp;$C$5,tblSales[訂單日期],"&lt;="&amp;$C$6,tblSales[付款狀態],"已付款"))</f>
        <v>0</v>
      </c>
      <c r="E24" s="6">
        <v>65</v>
      </c>
      <c r="F24" s="6">
        <f>IF(tblShare[[#This Row],[單位成本]]="",0,tblShare[[#This Row],[期間數量]]*tblShare[[#This Row],[單位成本]])</f>
        <v>0</v>
      </c>
      <c r="G24" s="6">
        <f>tblShare[[#This Row],[期間實收]]-tblShare[[#This Row],[產品成本]]</f>
        <v>0</v>
      </c>
      <c r="H24" t="s">
        <v>507</v>
      </c>
      <c r="I24" s="4">
        <v>0</v>
      </c>
      <c r="J24" s="6">
        <f>IF(tblShare[[#This Row],[是否新產品]]="是",MAX(0,tblShare[[#This Row],[期間毛利]])*tblShare[[#This Row],[新產品分潤率]],0)</f>
        <v>0</v>
      </c>
      <c r="K24" t="s">
        <v>1216</v>
      </c>
    </row>
    <row r="25" spans="1:11" ht="19.95" customHeight="1">
      <c r="A25" t="s">
        <v>472</v>
      </c>
      <c r="B25" t="s">
        <v>473</v>
      </c>
      <c r="C25">
        <f>IF(OR($C$5="",$C$6=""),0,SUMIFS(tblSales[數量],tblSales[SKU],tblShare[[#This Row],[SKU]],tblSales[訂單日期],"&gt;="&amp;$C$5,tblSales[訂單日期],"&lt;="&amp;$C$6,tblSales[付款狀態],"已付款"))</f>
        <v>0</v>
      </c>
      <c r="D25" s="6">
        <f>IF(OR($C$5="",$C$6=""),0,SUMIFS(tblSales[實收金額],tblSales[SKU],tblShare[[#This Row],[SKU]],tblSales[訂單日期],"&gt;="&amp;$C$5,tblSales[訂單日期],"&lt;="&amp;$C$6,tblSales[付款狀態],"已付款"))</f>
        <v>0</v>
      </c>
      <c r="E25" s="6">
        <v>65</v>
      </c>
      <c r="F25" s="6">
        <f>IF(tblShare[[#This Row],[單位成本]]="",0,tblShare[[#This Row],[期間數量]]*tblShare[[#This Row],[單位成本]])</f>
        <v>0</v>
      </c>
      <c r="G25" s="6">
        <f>tblShare[[#This Row],[期間實收]]-tblShare[[#This Row],[產品成本]]</f>
        <v>0</v>
      </c>
      <c r="H25" t="s">
        <v>507</v>
      </c>
      <c r="I25" s="4">
        <v>0</v>
      </c>
      <c r="J25" s="6">
        <f>IF(tblShare[[#This Row],[是否新產品]]="是",MAX(0,tblShare[[#This Row],[期間毛利]])*tblShare[[#This Row],[新產品分潤率]],0)</f>
        <v>0</v>
      </c>
      <c r="K25" t="s">
        <v>1216</v>
      </c>
    </row>
    <row r="26" spans="1:11" ht="19.95" customHeight="1">
      <c r="A26" t="s">
        <v>474</v>
      </c>
      <c r="B26" t="s">
        <v>475</v>
      </c>
      <c r="C26">
        <f>IF(OR($C$5="",$C$6=""),0,SUMIFS(tblSales[數量],tblSales[SKU],tblShare[[#This Row],[SKU]],tblSales[訂單日期],"&gt;="&amp;$C$5,tblSales[訂單日期],"&lt;="&amp;$C$6,tblSales[付款狀態],"已付款"))</f>
        <v>0</v>
      </c>
      <c r="D26" s="6">
        <f>IF(OR($C$5="",$C$6=""),0,SUMIFS(tblSales[實收金額],tblSales[SKU],tblShare[[#This Row],[SKU]],tblSales[訂單日期],"&gt;="&amp;$C$5,tblSales[訂單日期],"&lt;="&amp;$C$6,tblSales[付款狀態],"已付款"))</f>
        <v>0</v>
      </c>
      <c r="E26" s="6">
        <v>65</v>
      </c>
      <c r="F26" s="6">
        <f>IF(tblShare[[#This Row],[單位成本]]="",0,tblShare[[#This Row],[期間數量]]*tblShare[[#This Row],[單位成本]])</f>
        <v>0</v>
      </c>
      <c r="G26" s="6">
        <f>tblShare[[#This Row],[期間實收]]-tblShare[[#This Row],[產品成本]]</f>
        <v>0</v>
      </c>
      <c r="H26" t="s">
        <v>507</v>
      </c>
      <c r="I26" s="4">
        <v>0</v>
      </c>
      <c r="J26" s="6">
        <f>IF(tblShare[[#This Row],[是否新產品]]="是",MAX(0,tblShare[[#This Row],[期間毛利]])*tblShare[[#This Row],[新產品分潤率]],0)</f>
        <v>0</v>
      </c>
      <c r="K26" t="s">
        <v>1216</v>
      </c>
    </row>
    <row r="27" spans="1:11" ht="19.95" customHeight="1">
      <c r="A27" t="s">
        <v>476</v>
      </c>
      <c r="B27" t="s">
        <v>477</v>
      </c>
      <c r="C27">
        <f>IF(OR($C$5="",$C$6=""),0,SUMIFS(tblSales[數量],tblSales[SKU],tblShare[[#This Row],[SKU]],tblSales[訂單日期],"&gt;="&amp;$C$5,tblSales[訂單日期],"&lt;="&amp;$C$6,tblSales[付款狀態],"已付款"))</f>
        <v>0</v>
      </c>
      <c r="D27" s="6">
        <f>IF(OR($C$5="",$C$6=""),0,SUMIFS(tblSales[實收金額],tblSales[SKU],tblShare[[#This Row],[SKU]],tblSales[訂單日期],"&gt;="&amp;$C$5,tblSales[訂單日期],"&lt;="&amp;$C$6,tblSales[付款狀態],"已付款"))</f>
        <v>0</v>
      </c>
      <c r="E27" s="6">
        <v>65</v>
      </c>
      <c r="F27" s="6">
        <f>IF(tblShare[[#This Row],[單位成本]]="",0,tblShare[[#This Row],[期間數量]]*tblShare[[#This Row],[單位成本]])</f>
        <v>0</v>
      </c>
      <c r="G27" s="6">
        <f>tblShare[[#This Row],[期間實收]]-tblShare[[#This Row],[產品成本]]</f>
        <v>0</v>
      </c>
      <c r="H27" t="s">
        <v>507</v>
      </c>
      <c r="I27" s="4">
        <v>0</v>
      </c>
      <c r="J27" s="6">
        <f>IF(tblShare[[#This Row],[是否新產品]]="是",MAX(0,tblShare[[#This Row],[期間毛利]])*tblShare[[#This Row],[新產品分潤率]],0)</f>
        <v>0</v>
      </c>
      <c r="K27" t="s">
        <v>1216</v>
      </c>
    </row>
    <row r="28" spans="1:11" ht="19.95" customHeight="1">
      <c r="A28" t="s">
        <v>479</v>
      </c>
      <c r="B28" t="s">
        <v>480</v>
      </c>
      <c r="C28">
        <f>IF(OR($C$5="",$C$6=""),0,SUMIFS(tblSales[數量],tblSales[SKU],tblShare[[#This Row],[SKU]],tblSales[訂單日期],"&gt;="&amp;$C$5,tblSales[訂單日期],"&lt;="&amp;$C$6,tblSales[付款狀態],"已付款"))</f>
        <v>0</v>
      </c>
      <c r="D28" s="6">
        <f>IF(OR($C$5="",$C$6=""),0,SUMIFS(tblSales[實收金額],tblSales[SKU],tblShare[[#This Row],[SKU]],tblSales[訂單日期],"&gt;="&amp;$C$5,tblSales[訂單日期],"&lt;="&amp;$C$6,tblSales[付款狀態],"已付款"))</f>
        <v>0</v>
      </c>
      <c r="E28" s="6">
        <v>65</v>
      </c>
      <c r="F28" s="6">
        <f>IF(tblShare[[#This Row],[單位成本]]="",0,tblShare[[#This Row],[期間數量]]*tblShare[[#This Row],[單位成本]])</f>
        <v>0</v>
      </c>
      <c r="G28" s="6">
        <f>tblShare[[#This Row],[期間實收]]-tblShare[[#This Row],[產品成本]]</f>
        <v>0</v>
      </c>
      <c r="H28" t="s">
        <v>507</v>
      </c>
      <c r="I28" s="4">
        <v>0</v>
      </c>
      <c r="J28" s="6">
        <f>IF(tblShare[[#This Row],[是否新產品]]="是",MAX(0,tblShare[[#This Row],[期間毛利]])*tblShare[[#This Row],[新產品分潤率]],0)</f>
        <v>0</v>
      </c>
      <c r="K28" t="s">
        <v>1216</v>
      </c>
    </row>
    <row r="29" spans="1:11" ht="19.95" customHeight="1">
      <c r="A29" t="s">
        <v>482</v>
      </c>
      <c r="B29" t="s">
        <v>483</v>
      </c>
      <c r="C29">
        <f>IF(OR($C$5="",$C$6=""),0,SUMIFS(tblSales[數量],tblSales[SKU],tblShare[[#This Row],[SKU]],tblSales[訂單日期],"&gt;="&amp;$C$5,tblSales[訂單日期],"&lt;="&amp;$C$6,tblSales[付款狀態],"已付款"))</f>
        <v>0</v>
      </c>
      <c r="D29" s="6">
        <f>IF(OR($C$5="",$C$6=""),0,SUMIFS(tblSales[實收金額],tblSales[SKU],tblShare[[#This Row],[SKU]],tblSales[訂單日期],"&gt;="&amp;$C$5,tblSales[訂單日期],"&lt;="&amp;$C$6,tblSales[付款狀態],"已付款"))</f>
        <v>0</v>
      </c>
      <c r="E29" s="6">
        <v>65</v>
      </c>
      <c r="F29" s="6">
        <f>IF(tblShare[[#This Row],[單位成本]]="",0,tblShare[[#This Row],[期間數量]]*tblShare[[#This Row],[單位成本]])</f>
        <v>0</v>
      </c>
      <c r="G29" s="6">
        <f>tblShare[[#This Row],[期間實收]]-tblShare[[#This Row],[產品成本]]</f>
        <v>0</v>
      </c>
      <c r="H29" t="s">
        <v>507</v>
      </c>
      <c r="I29" s="4">
        <v>0</v>
      </c>
      <c r="J29" s="6">
        <f>IF(tblShare[[#This Row],[是否新產品]]="是",MAX(0,tblShare[[#This Row],[期間毛利]])*tblShare[[#This Row],[新產品分潤率]],0)</f>
        <v>0</v>
      </c>
      <c r="K29" t="s">
        <v>1216</v>
      </c>
    </row>
    <row r="30" spans="1:11" ht="19.95" customHeight="1">
      <c r="A30" t="s">
        <v>485</v>
      </c>
      <c r="B30" t="s">
        <v>486</v>
      </c>
      <c r="C30">
        <f>IF(OR($C$5="",$C$6=""),0,SUMIFS(tblSales[數量],tblSales[SKU],tblShare[[#This Row],[SKU]],tblSales[訂單日期],"&gt;="&amp;$C$5,tblSales[訂單日期],"&lt;="&amp;$C$6,tblSales[付款狀態],"已付款"))</f>
        <v>0</v>
      </c>
      <c r="D30" s="6">
        <f>IF(OR($C$5="",$C$6=""),0,SUMIFS(tblSales[實收金額],tblSales[SKU],tblShare[[#This Row],[SKU]],tblSales[訂單日期],"&gt;="&amp;$C$5,tblSales[訂單日期],"&lt;="&amp;$C$6,tblSales[付款狀態],"已付款"))</f>
        <v>0</v>
      </c>
      <c r="E30" s="6">
        <v>65</v>
      </c>
      <c r="F30" s="6">
        <f>IF(tblShare[[#This Row],[單位成本]]="",0,tblShare[[#This Row],[期間數量]]*tblShare[[#This Row],[單位成本]])</f>
        <v>0</v>
      </c>
      <c r="G30" s="6">
        <f>tblShare[[#This Row],[期間實收]]-tblShare[[#This Row],[產品成本]]</f>
        <v>0</v>
      </c>
      <c r="H30" t="s">
        <v>507</v>
      </c>
      <c r="I30" s="4">
        <v>0</v>
      </c>
      <c r="J30" s="6">
        <f>IF(tblShare[[#This Row],[是否新產品]]="是",MAX(0,tblShare[[#This Row],[期間毛利]])*tblShare[[#This Row],[新產品分潤率]],0)</f>
        <v>0</v>
      </c>
      <c r="K30" t="s">
        <v>1216</v>
      </c>
    </row>
    <row r="31" spans="1:11" ht="19.95" customHeight="1">
      <c r="A31" t="s">
        <v>488</v>
      </c>
      <c r="B31" t="s">
        <v>489</v>
      </c>
      <c r="C31">
        <f>IF(OR($C$5="",$C$6=""),0,SUMIFS(tblSales[數量],tblSales[SKU],tblShare[[#This Row],[SKU]],tblSales[訂單日期],"&gt;="&amp;$C$5,tblSales[訂單日期],"&lt;="&amp;$C$6,tblSales[付款狀態],"已付款"))</f>
        <v>0</v>
      </c>
      <c r="D31" s="6">
        <f>IF(OR($C$5="",$C$6=""),0,SUMIFS(tblSales[實收金額],tblSales[SKU],tblShare[[#This Row],[SKU]],tblSales[訂單日期],"&gt;="&amp;$C$5,tblSales[訂單日期],"&lt;="&amp;$C$6,tblSales[付款狀態],"已付款"))</f>
        <v>0</v>
      </c>
      <c r="E31" s="6">
        <v>65</v>
      </c>
      <c r="F31" s="6">
        <f>IF(tblShare[[#This Row],[單位成本]]="",0,tblShare[[#This Row],[期間數量]]*tblShare[[#This Row],[單位成本]])</f>
        <v>0</v>
      </c>
      <c r="G31" s="6">
        <f>tblShare[[#This Row],[期間實收]]-tblShare[[#This Row],[產品成本]]</f>
        <v>0</v>
      </c>
      <c r="H31" t="s">
        <v>507</v>
      </c>
      <c r="I31" s="4">
        <v>0</v>
      </c>
      <c r="J31" s="6">
        <f>IF(tblShare[[#This Row],[是否新產品]]="是",MAX(0,tblShare[[#This Row],[期間毛利]])*tblShare[[#This Row],[新產品分潤率]],0)</f>
        <v>0</v>
      </c>
      <c r="K31" t="s">
        <v>1216</v>
      </c>
    </row>
    <row r="32" spans="1:11" ht="19.95" customHeight="1">
      <c r="A32" t="s">
        <v>492</v>
      </c>
      <c r="B32" t="s">
        <v>494</v>
      </c>
      <c r="C32">
        <f>IF(OR($C$5="",$C$6=""),0,SUMIFS(tblSales[數量],tblSales[SKU],tblShare[[#This Row],[SKU]],tblSales[訂單日期],"&gt;="&amp;$C$5,tblSales[訂單日期],"&lt;="&amp;$C$6,tblSales[付款狀態],"已付款"))</f>
        <v>0</v>
      </c>
      <c r="D32" s="6">
        <f>IF(OR($C$5="",$C$6=""),0,SUMIFS(tblSales[實收金額],tblSales[SKU],tblShare[[#This Row],[SKU]],tblSales[訂單日期],"&gt;="&amp;$C$5,tblSales[訂單日期],"&lt;="&amp;$C$6,tblSales[付款狀態],"已付款"))</f>
        <v>0</v>
      </c>
      <c r="E32" s="6">
        <v>1615</v>
      </c>
      <c r="F32" s="6">
        <f>IF(tblShare[[#This Row],[單位成本]]="",0,tblShare[[#This Row],[期間數量]]*tblShare[[#This Row],[單位成本]])</f>
        <v>0</v>
      </c>
      <c r="G32" s="6">
        <f>tblShare[[#This Row],[期間實收]]-tblShare[[#This Row],[產品成本]]</f>
        <v>0</v>
      </c>
      <c r="H32" t="s">
        <v>507</v>
      </c>
      <c r="I32" s="4">
        <v>0</v>
      </c>
      <c r="J32" s="6">
        <f>IF(tblShare[[#This Row],[是否新產品]]="是",MAX(0,tblShare[[#This Row],[期間毛利]])*tblShare[[#This Row],[新產品分潤率]],0)</f>
        <v>0</v>
      </c>
      <c r="K32" t="s">
        <v>1216</v>
      </c>
    </row>
    <row r="33" spans="1:11" ht="19.95" customHeight="1">
      <c r="A33" t="s">
        <v>501</v>
      </c>
      <c r="B33" t="s">
        <v>503</v>
      </c>
      <c r="C33">
        <f>IF(OR($C$5="",$C$6=""),0,SUMIFS(tblSales[數量],tblSales[SKU],tblShare[[#This Row],[SKU]],tblSales[訂單日期],"&gt;="&amp;$C$5,tblSales[訂單日期],"&lt;="&amp;$C$6,tblSales[付款狀態],"已付款"))</f>
        <v>0</v>
      </c>
      <c r="D33" s="6">
        <f>IF(OR($C$5="",$C$6=""),0,SUMIFS(tblSales[實收金額],tblSales[SKU],tblShare[[#This Row],[SKU]],tblSales[訂單日期],"&gt;="&amp;$C$5,tblSales[訂單日期],"&lt;="&amp;$C$6,tblSales[付款狀態],"已付款"))</f>
        <v>0</v>
      </c>
      <c r="F33" s="6">
        <f>IF(tblShare[[#This Row],[單位成本]]="",0,tblShare[[#This Row],[期間數量]]*tblShare[[#This Row],[單位成本]])</f>
        <v>0</v>
      </c>
      <c r="G33" s="6">
        <f>tblShare[[#This Row],[期間實收]]-tblShare[[#This Row],[產品成本]]</f>
        <v>0</v>
      </c>
      <c r="H33" t="s">
        <v>507</v>
      </c>
      <c r="I33" s="4">
        <v>0</v>
      </c>
      <c r="J33" s="6">
        <f>IF(tblShare[[#This Row],[是否新產品]]="是",MAX(0,tblShare[[#This Row],[期間毛利]])*tblShare[[#This Row],[新產品分潤率]],0)</f>
        <v>0</v>
      </c>
      <c r="K33" t="s">
        <v>1216</v>
      </c>
    </row>
    <row r="34" spans="1:11" ht="19.95" customHeight="1">
      <c r="A34" t="s">
        <v>509</v>
      </c>
      <c r="B34" t="s">
        <v>510</v>
      </c>
      <c r="C34">
        <f>IF(OR($C$5="",$C$6=""),0,SUMIFS(tblSales[數量],tblSales[SKU],tblShare[[#This Row],[SKU]],tblSales[訂單日期],"&gt;="&amp;$C$5,tblSales[訂單日期],"&lt;="&amp;$C$6,tblSales[付款狀態],"已付款"))</f>
        <v>0</v>
      </c>
      <c r="D34" s="6">
        <f>IF(OR($C$5="",$C$6=""),0,SUMIFS(tblSales[實收金額],tblSales[SKU],tblShare[[#This Row],[SKU]],tblSales[訂單日期],"&gt;="&amp;$C$5,tblSales[訂單日期],"&lt;="&amp;$C$6,tblSales[付款狀態],"已付款"))</f>
        <v>0</v>
      </c>
      <c r="F34" s="6">
        <f>IF(tblShare[[#This Row],[單位成本]]="",0,tblShare[[#This Row],[期間數量]]*tblShare[[#This Row],[單位成本]])</f>
        <v>0</v>
      </c>
      <c r="G34" s="6">
        <f>tblShare[[#This Row],[期間實收]]-tblShare[[#This Row],[產品成本]]</f>
        <v>0</v>
      </c>
      <c r="H34" t="s">
        <v>507</v>
      </c>
      <c r="I34" s="4">
        <v>0</v>
      </c>
      <c r="J34" s="6">
        <f>IF(tblShare[[#This Row],[是否新產品]]="是",MAX(0,tblShare[[#This Row],[期間毛利]])*tblShare[[#This Row],[新產品分潤率]],0)</f>
        <v>0</v>
      </c>
      <c r="K34" t="s">
        <v>1216</v>
      </c>
    </row>
    <row r="35" spans="1:11" ht="19.95" customHeight="1">
      <c r="A35" t="s">
        <v>513</v>
      </c>
      <c r="B35" t="s">
        <v>515</v>
      </c>
      <c r="C35">
        <f>IF(OR($C$5="",$C$6=""),0,SUMIFS(tblSales[數量],tblSales[SKU],tblShare[[#This Row],[SKU]],tblSales[訂單日期],"&gt;="&amp;$C$5,tblSales[訂單日期],"&lt;="&amp;$C$6,tblSales[付款狀態],"已付款"))</f>
        <v>0</v>
      </c>
      <c r="D35" s="6">
        <f>IF(OR($C$5="",$C$6=""),0,SUMIFS(tblSales[實收金額],tblSales[SKU],tblShare[[#This Row],[SKU]],tblSales[訂單日期],"&gt;="&amp;$C$5,tblSales[訂單日期],"&lt;="&amp;$C$6,tblSales[付款狀態],"已付款"))</f>
        <v>0</v>
      </c>
      <c r="F35" s="6">
        <f>IF(tblShare[[#This Row],[單位成本]]="",0,tblShare[[#This Row],[期間數量]]*tblShare[[#This Row],[單位成本]])</f>
        <v>0</v>
      </c>
      <c r="G35" s="6">
        <f>tblShare[[#This Row],[期間實收]]-tblShare[[#This Row],[產品成本]]</f>
        <v>0</v>
      </c>
      <c r="H35" t="s">
        <v>507</v>
      </c>
      <c r="I35" s="4">
        <v>0</v>
      </c>
      <c r="J35" s="6">
        <f>IF(tblShare[[#This Row],[是否新產品]]="是",MAX(0,tblShare[[#This Row],[期間毛利]])*tblShare[[#This Row],[新產品分潤率]],0)</f>
        <v>0</v>
      </c>
      <c r="K35" t="s">
        <v>1216</v>
      </c>
    </row>
    <row r="36" spans="1:11" ht="19.95" customHeight="1">
      <c r="A36" t="s">
        <v>520</v>
      </c>
      <c r="B36" t="s">
        <v>521</v>
      </c>
      <c r="C36">
        <f>IF(OR($C$5="",$C$6=""),0,SUMIFS(tblSales[數量],tblSales[SKU],tblShare[[#This Row],[SKU]],tblSales[訂單日期],"&gt;="&amp;$C$5,tblSales[訂單日期],"&lt;="&amp;$C$6,tblSales[付款狀態],"已付款"))</f>
        <v>0</v>
      </c>
      <c r="D36" s="6">
        <f>IF(OR($C$5="",$C$6=""),0,SUMIFS(tblSales[實收金額],tblSales[SKU],tblShare[[#This Row],[SKU]],tblSales[訂單日期],"&gt;="&amp;$C$5,tblSales[訂單日期],"&lt;="&amp;$C$6,tblSales[付款狀態],"已付款"))</f>
        <v>0</v>
      </c>
      <c r="F36" s="6">
        <f>IF(tblShare[[#This Row],[單位成本]]="",0,tblShare[[#This Row],[期間數量]]*tblShare[[#This Row],[單位成本]])</f>
        <v>0</v>
      </c>
      <c r="G36" s="6">
        <f>tblShare[[#This Row],[期間實收]]-tblShare[[#This Row],[產品成本]]</f>
        <v>0</v>
      </c>
      <c r="H36" t="s">
        <v>507</v>
      </c>
      <c r="I36" s="4">
        <v>0</v>
      </c>
      <c r="J36" s="6">
        <f>IF(tblShare[[#This Row],[是否新產品]]="是",MAX(0,tblShare[[#This Row],[期間毛利]])*tblShare[[#This Row],[新產品分潤率]],0)</f>
        <v>0</v>
      </c>
      <c r="K36" t="s">
        <v>1216</v>
      </c>
    </row>
  </sheetData>
  <mergeCells count="17">
    <mergeCell ref="I11:J11"/>
    <mergeCell ref="D7:F7"/>
    <mergeCell ref="D8:F8"/>
    <mergeCell ref="D9:F9"/>
    <mergeCell ref="D10:F10"/>
    <mergeCell ref="H4:J4"/>
    <mergeCell ref="I5:J5"/>
    <mergeCell ref="I6:J6"/>
    <mergeCell ref="I7:J7"/>
    <mergeCell ref="I8:J8"/>
    <mergeCell ref="I9:J9"/>
    <mergeCell ref="I10:J10"/>
    <mergeCell ref="A1:M1"/>
    <mergeCell ref="A2:M2"/>
    <mergeCell ref="B4:F4"/>
    <mergeCell ref="D5:F5"/>
    <mergeCell ref="D6:F6"/>
  </mergeCells>
  <phoneticPr fontId="8" type="noConversion"/>
  <dataValidations count="1">
    <dataValidation type="list" allowBlank="1" showInputMessage="1" showErrorMessage="1" sqref="H14:H36" xr:uid="{00000000-0002-0000-1000-000000000000}">
      <formula1>YES_NO_UNKNOWN</formula1>
    </dataValidation>
  </dataValidations>
  <pageMargins left="0.25" right="0.25" top="0.4" bottom="0.4" header="0.3" footer="0.3"/>
  <pageSetup fitToHeight="0" orientation="landscape"/>
  <headerFooter>
    <oddHeader>&amp;L希望之光 Hope Light&amp;C品牌營運管理系統&amp;R&amp;D</oddHeader>
    <oddFooter>&amp;L[Codex] 初版｜待確認資料不可直接對外&amp;R第 &amp;P / &amp;N 頁</oddFooter>
  </headerFooter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D3A647"/>
    <pageSetUpPr fitToPage="1"/>
  </sheetPr>
  <dimension ref="A1:M19"/>
  <sheetViews>
    <sheetView showGridLines="0" workbookViewId="0">
      <pane ySplit="4" topLeftCell="A5" activePane="bottomLeft" state="frozen"/>
      <selection pane="bottomLeft"/>
    </sheetView>
  </sheetViews>
  <sheetFormatPr defaultRowHeight="19.95" customHeight="1"/>
  <cols>
    <col min="1" max="1" width="14.75" customWidth="1"/>
    <col min="2" max="2" width="12.75" customWidth="1"/>
    <col min="3" max="3" width="30.75" customWidth="1"/>
    <col min="4" max="5" width="50.75" customWidth="1"/>
    <col min="6" max="6" width="15.75" customWidth="1"/>
    <col min="7" max="7" width="12.75" customWidth="1"/>
    <col min="8" max="8" width="13.75" customWidth="1"/>
    <col min="9" max="9" width="55.75" customWidth="1"/>
    <col min="10" max="10" width="13.75" customWidth="1"/>
    <col min="11" max="11" width="30.75" customWidth="1"/>
  </cols>
  <sheetData>
    <row r="1" spans="1:13" ht="34.049999999999997" customHeight="1">
      <c r="A1" s="9" t="s">
        <v>1217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2" spans="1:13" ht="31.05" customHeight="1">
      <c r="A2" s="10" t="s">
        <v>1218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4" spans="1:13" ht="19.95" customHeight="1">
      <c r="A4" t="s">
        <v>1219</v>
      </c>
      <c r="B4" t="s">
        <v>1220</v>
      </c>
      <c r="C4" t="s">
        <v>1221</v>
      </c>
      <c r="D4" t="s">
        <v>1222</v>
      </c>
      <c r="E4" t="s">
        <v>1223</v>
      </c>
      <c r="F4" t="s">
        <v>1224</v>
      </c>
      <c r="G4" t="s">
        <v>1225</v>
      </c>
      <c r="H4" t="s">
        <v>79</v>
      </c>
      <c r="I4" t="s">
        <v>1226</v>
      </c>
      <c r="J4" t="s">
        <v>1227</v>
      </c>
      <c r="K4" t="s">
        <v>1228</v>
      </c>
    </row>
    <row r="5" spans="1:13" ht="19.95" customHeight="1">
      <c r="A5" t="s">
        <v>1229</v>
      </c>
      <c r="B5" t="s">
        <v>1230</v>
      </c>
      <c r="C5" t="s">
        <v>1231</v>
      </c>
      <c r="D5" t="s">
        <v>1232</v>
      </c>
      <c r="E5" t="s">
        <v>1233</v>
      </c>
      <c r="F5" t="s">
        <v>1234</v>
      </c>
      <c r="G5" t="s">
        <v>735</v>
      </c>
      <c r="H5" t="s">
        <v>421</v>
      </c>
    </row>
    <row r="6" spans="1:13" ht="19.95" customHeight="1">
      <c r="A6" t="s">
        <v>1235</v>
      </c>
      <c r="B6" t="s">
        <v>1236</v>
      </c>
      <c r="C6" t="s">
        <v>1237</v>
      </c>
      <c r="D6" t="s">
        <v>1238</v>
      </c>
      <c r="E6" t="s">
        <v>1239</v>
      </c>
      <c r="F6" t="s">
        <v>1234</v>
      </c>
      <c r="G6" t="s">
        <v>91</v>
      </c>
      <c r="H6" t="s">
        <v>1240</v>
      </c>
    </row>
    <row r="7" spans="1:13" ht="19.95" customHeight="1">
      <c r="A7" t="s">
        <v>1241</v>
      </c>
      <c r="B7" t="s">
        <v>1242</v>
      </c>
      <c r="C7" t="s">
        <v>1243</v>
      </c>
      <c r="D7" t="s">
        <v>1244</v>
      </c>
      <c r="E7" t="s">
        <v>1245</v>
      </c>
      <c r="F7" t="s">
        <v>1246</v>
      </c>
      <c r="G7" t="s">
        <v>735</v>
      </c>
      <c r="H7" t="s">
        <v>421</v>
      </c>
    </row>
    <row r="8" spans="1:13" ht="19.95" customHeight="1">
      <c r="A8" t="s">
        <v>1247</v>
      </c>
      <c r="B8" t="s">
        <v>773</v>
      </c>
      <c r="C8" t="s">
        <v>1248</v>
      </c>
      <c r="D8" t="s">
        <v>1249</v>
      </c>
      <c r="E8" t="s">
        <v>1250</v>
      </c>
      <c r="F8" t="s">
        <v>1251</v>
      </c>
      <c r="G8" t="s">
        <v>91</v>
      </c>
      <c r="H8" t="s">
        <v>1240</v>
      </c>
    </row>
    <row r="9" spans="1:13" ht="19.95" customHeight="1">
      <c r="A9" t="s">
        <v>1252</v>
      </c>
      <c r="B9" t="s">
        <v>1253</v>
      </c>
      <c r="C9" t="s">
        <v>1254</v>
      </c>
      <c r="D9" t="s">
        <v>1255</v>
      </c>
      <c r="E9" t="s">
        <v>1256</v>
      </c>
      <c r="F9" t="s">
        <v>1257</v>
      </c>
      <c r="G9" t="s">
        <v>735</v>
      </c>
      <c r="H9" t="s">
        <v>421</v>
      </c>
    </row>
    <row r="10" spans="1:13" ht="19.95" customHeight="1">
      <c r="A10" t="s">
        <v>1258</v>
      </c>
      <c r="B10" t="s">
        <v>1253</v>
      </c>
      <c r="C10" t="s">
        <v>1259</v>
      </c>
      <c r="D10" t="s">
        <v>1260</v>
      </c>
      <c r="E10" t="s">
        <v>1261</v>
      </c>
      <c r="F10" t="s">
        <v>1251</v>
      </c>
      <c r="G10" t="s">
        <v>91</v>
      </c>
      <c r="H10" t="s">
        <v>1240</v>
      </c>
    </row>
    <row r="11" spans="1:13" ht="19.95" customHeight="1">
      <c r="A11" t="s">
        <v>1262</v>
      </c>
      <c r="B11" t="s">
        <v>58</v>
      </c>
      <c r="C11" t="s">
        <v>1263</v>
      </c>
      <c r="D11" t="s">
        <v>1264</v>
      </c>
      <c r="E11" t="s">
        <v>1265</v>
      </c>
      <c r="F11" t="s">
        <v>1266</v>
      </c>
      <c r="G11" t="s">
        <v>735</v>
      </c>
      <c r="H11" t="s">
        <v>421</v>
      </c>
    </row>
    <row r="12" spans="1:13" ht="19.95" customHeight="1">
      <c r="A12" t="s">
        <v>1267</v>
      </c>
      <c r="B12" t="s">
        <v>1268</v>
      </c>
      <c r="C12" t="s">
        <v>1269</v>
      </c>
      <c r="D12" t="s">
        <v>1270</v>
      </c>
      <c r="E12" t="s">
        <v>1271</v>
      </c>
      <c r="F12" t="s">
        <v>1272</v>
      </c>
      <c r="G12" t="s">
        <v>91</v>
      </c>
      <c r="H12" t="s">
        <v>1240</v>
      </c>
    </row>
    <row r="13" spans="1:13" ht="19.95" customHeight="1">
      <c r="A13" t="s">
        <v>1273</v>
      </c>
      <c r="B13" t="s">
        <v>1274</v>
      </c>
      <c r="C13" t="s">
        <v>1275</v>
      </c>
      <c r="D13" t="s">
        <v>1276</v>
      </c>
      <c r="E13" t="s">
        <v>1277</v>
      </c>
      <c r="F13" t="s">
        <v>1272</v>
      </c>
      <c r="G13" t="s">
        <v>735</v>
      </c>
      <c r="H13" t="s">
        <v>421</v>
      </c>
    </row>
    <row r="14" spans="1:13" ht="19.95" customHeight="1">
      <c r="A14" t="s">
        <v>1278</v>
      </c>
      <c r="B14" t="s">
        <v>1279</v>
      </c>
      <c r="C14" t="s">
        <v>1280</v>
      </c>
      <c r="D14" t="s">
        <v>1281</v>
      </c>
      <c r="E14" t="s">
        <v>1282</v>
      </c>
      <c r="F14" t="s">
        <v>1283</v>
      </c>
      <c r="G14" t="s">
        <v>91</v>
      </c>
      <c r="H14" t="s">
        <v>1240</v>
      </c>
    </row>
    <row r="15" spans="1:13" ht="19.95" customHeight="1">
      <c r="A15" t="s">
        <v>1284</v>
      </c>
      <c r="B15" t="s">
        <v>1285</v>
      </c>
      <c r="C15" t="s">
        <v>1286</v>
      </c>
      <c r="D15" t="s">
        <v>1287</v>
      </c>
      <c r="E15" t="s">
        <v>1288</v>
      </c>
      <c r="F15" t="s">
        <v>1289</v>
      </c>
      <c r="G15" t="s">
        <v>735</v>
      </c>
      <c r="H15" t="s">
        <v>421</v>
      </c>
    </row>
    <row r="16" spans="1:13" ht="19.95" customHeight="1">
      <c r="A16" t="s">
        <v>1290</v>
      </c>
      <c r="B16" t="s">
        <v>62</v>
      </c>
      <c r="C16" t="s">
        <v>1291</v>
      </c>
      <c r="D16" t="s">
        <v>1292</v>
      </c>
      <c r="E16" t="s">
        <v>1293</v>
      </c>
      <c r="F16" t="s">
        <v>1294</v>
      </c>
      <c r="G16" t="s">
        <v>91</v>
      </c>
      <c r="H16" t="s">
        <v>1240</v>
      </c>
    </row>
    <row r="17" spans="1:8" ht="19.95" customHeight="1">
      <c r="A17" t="s">
        <v>1295</v>
      </c>
      <c r="B17" t="s">
        <v>58</v>
      </c>
      <c r="C17" t="s">
        <v>1296</v>
      </c>
      <c r="D17" t="s">
        <v>1297</v>
      </c>
      <c r="E17" t="s">
        <v>1298</v>
      </c>
      <c r="F17" t="s">
        <v>1257</v>
      </c>
      <c r="G17" t="s">
        <v>735</v>
      </c>
      <c r="H17" t="s">
        <v>421</v>
      </c>
    </row>
    <row r="18" spans="1:8" ht="19.95" customHeight="1">
      <c r="A18" t="s">
        <v>1299</v>
      </c>
      <c r="B18" t="s">
        <v>1075</v>
      </c>
      <c r="C18" t="s">
        <v>1300</v>
      </c>
      <c r="D18" t="s">
        <v>1301</v>
      </c>
      <c r="E18" t="s">
        <v>1302</v>
      </c>
      <c r="F18" t="s">
        <v>1246</v>
      </c>
      <c r="G18" t="s">
        <v>735</v>
      </c>
      <c r="H18" t="s">
        <v>421</v>
      </c>
    </row>
    <row r="19" spans="1:8" ht="19.95" customHeight="1">
      <c r="A19" t="s">
        <v>1303</v>
      </c>
      <c r="B19" t="s">
        <v>1304</v>
      </c>
      <c r="C19" t="s">
        <v>1305</v>
      </c>
      <c r="D19" t="s">
        <v>1306</v>
      </c>
      <c r="E19" t="s">
        <v>1307</v>
      </c>
      <c r="F19" t="s">
        <v>1308</v>
      </c>
      <c r="G19" t="s">
        <v>1309</v>
      </c>
      <c r="H19" t="s">
        <v>1310</v>
      </c>
    </row>
  </sheetData>
  <mergeCells count="2">
    <mergeCell ref="A1:M1"/>
    <mergeCell ref="A2:M2"/>
  </mergeCells>
  <phoneticPr fontId="8" type="noConversion"/>
  <conditionalFormatting sqref="H5:H19">
    <cfRule type="containsText" dxfId="1" priority="1" operator="containsText" text="待">
      <formula>NOT(ISERROR(SEARCH("待",H5)))</formula>
    </cfRule>
  </conditionalFormatting>
  <dataValidations count="2">
    <dataValidation type="list" allowBlank="1" showInputMessage="1" showErrorMessage="1" sqref="G5:G19" xr:uid="{00000000-0002-0000-1100-000000000000}">
      <formula1>OWNER_LIST</formula1>
    </dataValidation>
    <dataValidation type="list" allowBlank="1" showInputMessage="1" showErrorMessage="1" sqref="H5:H19" xr:uid="{00000000-0002-0000-1100-000001000000}">
      <formula1>GENERAL_STATUS</formula1>
    </dataValidation>
  </dataValidations>
  <pageMargins left="0.25" right="0.25" top="0.4" bottom="0.4" header="0.3" footer="0.3"/>
  <pageSetup fitToHeight="0" orientation="landscape"/>
  <headerFooter>
    <oddHeader>&amp;L希望之光 Hope Light&amp;C品牌營運管理系統&amp;R&amp;D</oddHeader>
    <oddFooter>&amp;L[Codex] 初版｜待確認資料不可直接對外&amp;R第 &amp;P / &amp;N 頁</oddFooter>
  </headerFooter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B33A3A"/>
    <pageSetUpPr fitToPage="1"/>
  </sheetPr>
  <dimension ref="A1:M42"/>
  <sheetViews>
    <sheetView showGridLines="0" workbookViewId="0">
      <pane ySplit="4" topLeftCell="A5" activePane="bottomLeft" state="frozen"/>
      <selection pane="bottomLeft"/>
    </sheetView>
  </sheetViews>
  <sheetFormatPr defaultRowHeight="19.95" customHeight="1"/>
  <cols>
    <col min="1" max="1" width="52.75" customWidth="1"/>
    <col min="2" max="2" width="22.75" customWidth="1"/>
    <col min="3" max="3" width="15.75" customWidth="1"/>
    <col min="4" max="4" width="70.75" customWidth="1"/>
    <col min="5" max="5" width="45.75" customWidth="1"/>
    <col min="6" max="6" width="55.75" customWidth="1"/>
    <col min="7" max="7" width="42.75" customWidth="1"/>
    <col min="8" max="8" width="15.75" customWidth="1"/>
  </cols>
  <sheetData>
    <row r="1" spans="1:13" ht="34.049999999999997" customHeight="1">
      <c r="A1" s="9" t="s">
        <v>1311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2" spans="1:13" ht="31.05" customHeight="1">
      <c r="A2" s="10" t="s">
        <v>1312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4" spans="1:13" ht="19.95" customHeight="1">
      <c r="A4" t="s">
        <v>1313</v>
      </c>
      <c r="B4" t="s">
        <v>1314</v>
      </c>
      <c r="C4" t="s">
        <v>1220</v>
      </c>
      <c r="D4" t="s">
        <v>1315</v>
      </c>
      <c r="E4" t="s">
        <v>1316</v>
      </c>
      <c r="F4" t="s">
        <v>1317</v>
      </c>
      <c r="G4" t="s">
        <v>1318</v>
      </c>
      <c r="H4" t="s">
        <v>79</v>
      </c>
    </row>
    <row r="5" spans="1:13" ht="19.95" customHeight="1">
      <c r="A5" t="s">
        <v>1319</v>
      </c>
      <c r="B5" t="s">
        <v>543</v>
      </c>
      <c r="C5" t="s">
        <v>1320</v>
      </c>
      <c r="D5" t="s">
        <v>1321</v>
      </c>
      <c r="E5" t="s">
        <v>1322</v>
      </c>
      <c r="F5" t="s">
        <v>1323</v>
      </c>
      <c r="G5" t="s">
        <v>1324</v>
      </c>
      <c r="H5" t="s">
        <v>1325</v>
      </c>
    </row>
    <row r="6" spans="1:13" ht="19.95" customHeight="1">
      <c r="A6" t="s">
        <v>1326</v>
      </c>
      <c r="B6" t="s">
        <v>543</v>
      </c>
      <c r="C6" t="s">
        <v>1327</v>
      </c>
      <c r="D6" t="s">
        <v>1328</v>
      </c>
      <c r="E6" t="s">
        <v>1329</v>
      </c>
      <c r="F6" t="s">
        <v>1330</v>
      </c>
      <c r="G6" t="s">
        <v>1331</v>
      </c>
      <c r="H6" t="s">
        <v>1332</v>
      </c>
    </row>
    <row r="7" spans="1:13" ht="19.95" customHeight="1">
      <c r="A7" t="s">
        <v>1333</v>
      </c>
      <c r="B7" t="s">
        <v>543</v>
      </c>
      <c r="C7" t="s">
        <v>1304</v>
      </c>
      <c r="D7" t="s">
        <v>1334</v>
      </c>
      <c r="E7" t="s">
        <v>1335</v>
      </c>
      <c r="F7" t="s">
        <v>1336</v>
      </c>
      <c r="G7" t="s">
        <v>1331</v>
      </c>
      <c r="H7" t="s">
        <v>421</v>
      </c>
    </row>
    <row r="8" spans="1:13" ht="19.95" customHeight="1">
      <c r="A8" t="s">
        <v>1337</v>
      </c>
      <c r="B8" t="s">
        <v>543</v>
      </c>
      <c r="C8" t="s">
        <v>1338</v>
      </c>
      <c r="D8" t="s">
        <v>1339</v>
      </c>
      <c r="E8" t="s">
        <v>1340</v>
      </c>
      <c r="F8" t="s">
        <v>1341</v>
      </c>
      <c r="G8" t="s">
        <v>1342</v>
      </c>
      <c r="H8" t="s">
        <v>421</v>
      </c>
    </row>
    <row r="9" spans="1:13" ht="19.95" customHeight="1">
      <c r="A9" t="s">
        <v>1343</v>
      </c>
      <c r="B9" t="s">
        <v>589</v>
      </c>
      <c r="C9" t="s">
        <v>1304</v>
      </c>
      <c r="D9" t="s">
        <v>1344</v>
      </c>
      <c r="E9" t="s">
        <v>1345</v>
      </c>
      <c r="F9" t="s">
        <v>1346</v>
      </c>
      <c r="G9" t="s">
        <v>1347</v>
      </c>
      <c r="H9" t="s">
        <v>1348</v>
      </c>
    </row>
    <row r="10" spans="1:13" ht="19.95" customHeight="1">
      <c r="A10" t="s">
        <v>1349</v>
      </c>
      <c r="B10" t="s">
        <v>543</v>
      </c>
      <c r="C10" t="s">
        <v>1350</v>
      </c>
      <c r="D10" t="s">
        <v>1351</v>
      </c>
      <c r="E10" t="s">
        <v>1352</v>
      </c>
      <c r="F10" t="s">
        <v>1353</v>
      </c>
      <c r="G10" t="s">
        <v>1354</v>
      </c>
      <c r="H10" t="s">
        <v>421</v>
      </c>
    </row>
    <row r="11" spans="1:13" ht="19.95" customHeight="1">
      <c r="A11" t="s">
        <v>1355</v>
      </c>
      <c r="B11" t="s">
        <v>589</v>
      </c>
      <c r="C11" t="s">
        <v>1350</v>
      </c>
      <c r="D11" t="s">
        <v>1356</v>
      </c>
      <c r="E11" t="s">
        <v>1357</v>
      </c>
      <c r="F11" t="s">
        <v>1358</v>
      </c>
      <c r="G11" t="s">
        <v>1359</v>
      </c>
      <c r="H11" t="s">
        <v>421</v>
      </c>
    </row>
    <row r="12" spans="1:13" ht="19.95" customHeight="1">
      <c r="A12" t="s">
        <v>1360</v>
      </c>
      <c r="B12" t="s">
        <v>543</v>
      </c>
      <c r="C12" t="s">
        <v>1361</v>
      </c>
      <c r="D12" t="s">
        <v>1362</v>
      </c>
      <c r="E12" t="s">
        <v>1363</v>
      </c>
      <c r="F12" t="s">
        <v>1364</v>
      </c>
      <c r="G12" t="s">
        <v>1365</v>
      </c>
      <c r="H12" t="s">
        <v>421</v>
      </c>
    </row>
    <row r="13" spans="1:13" ht="19.95" customHeight="1">
      <c r="A13" t="s">
        <v>1366</v>
      </c>
      <c r="B13" t="s">
        <v>543</v>
      </c>
      <c r="C13" t="s">
        <v>665</v>
      </c>
      <c r="D13" t="s">
        <v>1367</v>
      </c>
      <c r="E13" t="s">
        <v>1368</v>
      </c>
      <c r="F13" t="s">
        <v>1369</v>
      </c>
      <c r="G13" t="s">
        <v>1370</v>
      </c>
      <c r="H13" t="s">
        <v>421</v>
      </c>
    </row>
    <row r="14" spans="1:13" ht="19.95" customHeight="1">
      <c r="A14" t="s">
        <v>1371</v>
      </c>
      <c r="B14" t="s">
        <v>543</v>
      </c>
      <c r="C14" t="s">
        <v>1372</v>
      </c>
      <c r="D14" t="s">
        <v>1373</v>
      </c>
      <c r="E14" t="s">
        <v>1374</v>
      </c>
      <c r="F14" t="s">
        <v>1375</v>
      </c>
      <c r="G14" t="s">
        <v>1376</v>
      </c>
      <c r="H14" t="s">
        <v>1377</v>
      </c>
    </row>
    <row r="15" spans="1:13" ht="19.95" customHeight="1">
      <c r="A15" t="s">
        <v>1378</v>
      </c>
      <c r="B15" t="s">
        <v>589</v>
      </c>
      <c r="C15" t="s">
        <v>58</v>
      </c>
      <c r="D15" t="s">
        <v>1379</v>
      </c>
      <c r="E15" t="s">
        <v>1380</v>
      </c>
      <c r="F15" t="s">
        <v>1381</v>
      </c>
      <c r="G15" t="s">
        <v>1382</v>
      </c>
      <c r="H15" t="s">
        <v>421</v>
      </c>
    </row>
    <row r="16" spans="1:13" ht="19.95" customHeight="1">
      <c r="A16" t="s">
        <v>1383</v>
      </c>
      <c r="B16" t="s">
        <v>543</v>
      </c>
      <c r="C16" t="s">
        <v>1384</v>
      </c>
      <c r="D16" t="s">
        <v>1385</v>
      </c>
      <c r="E16" t="s">
        <v>1386</v>
      </c>
      <c r="F16" t="s">
        <v>1387</v>
      </c>
      <c r="G16" t="s">
        <v>1388</v>
      </c>
      <c r="H16" t="s">
        <v>1325</v>
      </c>
    </row>
    <row r="17" spans="1:8" ht="19.95" customHeight="1">
      <c r="A17" t="s">
        <v>1389</v>
      </c>
      <c r="B17" t="s">
        <v>589</v>
      </c>
      <c r="C17" t="s">
        <v>1384</v>
      </c>
      <c r="D17" t="s">
        <v>1390</v>
      </c>
      <c r="E17" t="s">
        <v>1391</v>
      </c>
      <c r="F17" t="s">
        <v>1392</v>
      </c>
      <c r="G17" t="s">
        <v>1388</v>
      </c>
      <c r="H17" t="s">
        <v>558</v>
      </c>
    </row>
    <row r="18" spans="1:8" ht="19.95" customHeight="1">
      <c r="A18" t="s">
        <v>1393</v>
      </c>
      <c r="B18" t="s">
        <v>543</v>
      </c>
      <c r="C18" t="s">
        <v>1394</v>
      </c>
      <c r="D18" t="s">
        <v>1395</v>
      </c>
      <c r="E18" t="s">
        <v>1396</v>
      </c>
      <c r="F18" t="s">
        <v>1397</v>
      </c>
      <c r="G18" t="s">
        <v>1398</v>
      </c>
      <c r="H18" t="s">
        <v>558</v>
      </c>
    </row>
    <row r="19" spans="1:8" ht="19.95" customHeight="1">
      <c r="A19" t="s">
        <v>1399</v>
      </c>
      <c r="B19" t="s">
        <v>543</v>
      </c>
      <c r="C19" t="s">
        <v>534</v>
      </c>
      <c r="D19" t="s">
        <v>1400</v>
      </c>
      <c r="E19" t="s">
        <v>1401</v>
      </c>
      <c r="F19" t="s">
        <v>1402</v>
      </c>
      <c r="G19" t="s">
        <v>1403</v>
      </c>
      <c r="H19" t="s">
        <v>1404</v>
      </c>
    </row>
    <row r="20" spans="1:8" ht="19.95" customHeight="1">
      <c r="A20" t="s">
        <v>1405</v>
      </c>
      <c r="B20" t="s">
        <v>589</v>
      </c>
      <c r="C20" t="s">
        <v>1406</v>
      </c>
      <c r="D20" t="s">
        <v>1407</v>
      </c>
      <c r="E20" t="s">
        <v>1408</v>
      </c>
      <c r="F20" t="s">
        <v>1409</v>
      </c>
      <c r="G20" t="s">
        <v>1410</v>
      </c>
      <c r="H20" t="s">
        <v>1411</v>
      </c>
    </row>
    <row r="21" spans="1:8" ht="19.95" customHeight="1">
      <c r="A21" t="s">
        <v>1412</v>
      </c>
      <c r="B21" t="s">
        <v>589</v>
      </c>
      <c r="C21" t="s">
        <v>62</v>
      </c>
      <c r="D21" t="s">
        <v>1413</v>
      </c>
      <c r="E21" t="s">
        <v>1414</v>
      </c>
      <c r="F21" t="s">
        <v>1415</v>
      </c>
      <c r="G21" t="s">
        <v>1416</v>
      </c>
      <c r="H21" t="s">
        <v>558</v>
      </c>
    </row>
    <row r="22" spans="1:8" ht="19.95" customHeight="1">
      <c r="A22" t="s">
        <v>1417</v>
      </c>
      <c r="B22" t="s">
        <v>589</v>
      </c>
      <c r="C22" t="s">
        <v>1418</v>
      </c>
      <c r="D22" t="s">
        <v>1419</v>
      </c>
      <c r="E22" t="s">
        <v>1420</v>
      </c>
      <c r="F22" t="s">
        <v>1421</v>
      </c>
      <c r="G22" t="s">
        <v>1422</v>
      </c>
      <c r="H22" t="s">
        <v>421</v>
      </c>
    </row>
    <row r="25" spans="1:8" ht="19.95" customHeight="1">
      <c r="A25" s="11" t="s">
        <v>1423</v>
      </c>
      <c r="B25" s="11"/>
      <c r="C25" s="11"/>
      <c r="D25" s="11"/>
      <c r="E25" s="11"/>
      <c r="F25" s="11"/>
      <c r="G25" s="11"/>
      <c r="H25" s="11"/>
    </row>
    <row r="26" spans="1:8" ht="19.95" customHeight="1">
      <c r="A26" t="s">
        <v>1424</v>
      </c>
      <c r="B26" t="s">
        <v>1425</v>
      </c>
      <c r="C26" t="s">
        <v>1426</v>
      </c>
      <c r="D26" t="s">
        <v>1427</v>
      </c>
    </row>
    <row r="27" spans="1:8" ht="19.95" customHeight="1">
      <c r="A27" t="s">
        <v>1324</v>
      </c>
      <c r="B27" t="s">
        <v>1428</v>
      </c>
      <c r="C27" t="s">
        <v>1429</v>
      </c>
      <c r="D27" t="s">
        <v>1430</v>
      </c>
    </row>
    <row r="28" spans="1:8" ht="19.95" customHeight="1">
      <c r="A28" t="s">
        <v>1431</v>
      </c>
      <c r="B28" t="s">
        <v>1432</v>
      </c>
      <c r="C28" t="s">
        <v>1433</v>
      </c>
      <c r="D28" t="s">
        <v>1434</v>
      </c>
    </row>
    <row r="29" spans="1:8" ht="19.95" customHeight="1">
      <c r="A29" t="s">
        <v>1435</v>
      </c>
      <c r="B29" t="s">
        <v>1436</v>
      </c>
      <c r="C29" t="s">
        <v>1437</v>
      </c>
      <c r="D29" t="s">
        <v>1438</v>
      </c>
    </row>
    <row r="30" spans="1:8" ht="19.95" customHeight="1">
      <c r="A30" t="s">
        <v>1439</v>
      </c>
      <c r="B30" t="s">
        <v>1440</v>
      </c>
      <c r="C30" t="s">
        <v>1437</v>
      </c>
      <c r="D30" t="s">
        <v>1441</v>
      </c>
    </row>
    <row r="31" spans="1:8" ht="19.95" customHeight="1">
      <c r="A31" t="s">
        <v>1422</v>
      </c>
      <c r="B31" t="s">
        <v>1442</v>
      </c>
      <c r="C31" t="s">
        <v>1433</v>
      </c>
      <c r="D31" t="s">
        <v>1443</v>
      </c>
    </row>
    <row r="32" spans="1:8" ht="19.95" customHeight="1">
      <c r="A32" t="s">
        <v>1388</v>
      </c>
      <c r="B32" t="s">
        <v>1444</v>
      </c>
      <c r="C32" t="s">
        <v>1433</v>
      </c>
      <c r="D32" t="s">
        <v>1445</v>
      </c>
    </row>
    <row r="33" spans="1:4" ht="19.95" customHeight="1">
      <c r="A33" t="s">
        <v>1331</v>
      </c>
      <c r="B33" t="s">
        <v>1446</v>
      </c>
      <c r="C33" t="s">
        <v>1433</v>
      </c>
      <c r="D33" t="s">
        <v>1447</v>
      </c>
    </row>
    <row r="34" spans="1:4" ht="19.95" customHeight="1">
      <c r="A34" t="s">
        <v>1448</v>
      </c>
      <c r="B34" t="s">
        <v>1449</v>
      </c>
      <c r="C34" t="s">
        <v>1433</v>
      </c>
      <c r="D34" t="s">
        <v>1450</v>
      </c>
    </row>
    <row r="35" spans="1:4" ht="19.95" customHeight="1">
      <c r="A35" t="s">
        <v>1451</v>
      </c>
      <c r="B35" t="s">
        <v>1452</v>
      </c>
      <c r="C35" t="s">
        <v>1437</v>
      </c>
      <c r="D35" t="s">
        <v>1453</v>
      </c>
    </row>
    <row r="36" spans="1:4" ht="19.95" customHeight="1">
      <c r="A36" t="s">
        <v>1454</v>
      </c>
      <c r="B36" t="s">
        <v>1455</v>
      </c>
      <c r="C36" t="s">
        <v>1437</v>
      </c>
      <c r="D36" t="s">
        <v>1456</v>
      </c>
    </row>
    <row r="37" spans="1:4" ht="19.95" customHeight="1">
      <c r="A37" t="s">
        <v>1457</v>
      </c>
      <c r="B37" t="s">
        <v>1458</v>
      </c>
      <c r="C37" t="s">
        <v>1437</v>
      </c>
      <c r="D37" t="s">
        <v>1459</v>
      </c>
    </row>
    <row r="38" spans="1:4" ht="19.95" customHeight="1">
      <c r="A38" t="s">
        <v>1460</v>
      </c>
      <c r="B38" t="s">
        <v>1461</v>
      </c>
      <c r="C38" t="s">
        <v>1437</v>
      </c>
      <c r="D38" t="s">
        <v>1462</v>
      </c>
    </row>
    <row r="39" spans="1:4" ht="19.95" customHeight="1">
      <c r="A39" t="s">
        <v>1398</v>
      </c>
      <c r="B39" t="s">
        <v>1463</v>
      </c>
      <c r="C39" t="s">
        <v>1433</v>
      </c>
      <c r="D39" t="s">
        <v>1464</v>
      </c>
    </row>
    <row r="40" spans="1:4" ht="19.95" customHeight="1">
      <c r="A40" t="s">
        <v>1465</v>
      </c>
      <c r="B40" t="s">
        <v>1466</v>
      </c>
      <c r="C40" t="s">
        <v>1437</v>
      </c>
      <c r="D40" t="s">
        <v>1467</v>
      </c>
    </row>
    <row r="41" spans="1:4" ht="19.95" customHeight="1">
      <c r="A41" t="s">
        <v>1468</v>
      </c>
      <c r="B41" t="s">
        <v>1469</v>
      </c>
      <c r="C41" t="s">
        <v>1437</v>
      </c>
      <c r="D41" t="s">
        <v>1470</v>
      </c>
    </row>
    <row r="42" spans="1:4" ht="19.95" customHeight="1">
      <c r="A42" t="s">
        <v>1471</v>
      </c>
      <c r="B42" t="s">
        <v>1469</v>
      </c>
      <c r="C42" t="s">
        <v>1472</v>
      </c>
      <c r="D42" t="s">
        <v>1473</v>
      </c>
    </row>
  </sheetData>
  <mergeCells count="3">
    <mergeCell ref="A1:M1"/>
    <mergeCell ref="A2:M2"/>
    <mergeCell ref="A25:H25"/>
  </mergeCells>
  <phoneticPr fontId="8" type="noConversion"/>
  <conditionalFormatting sqref="B5:B22">
    <cfRule type="containsText" dxfId="0" priority="1" operator="containsText" text="高">
      <formula>NOT(ISERROR(SEARCH("高",B5)))</formula>
    </cfRule>
  </conditionalFormatting>
  <dataValidations count="1">
    <dataValidation type="list" allowBlank="1" showInputMessage="1" showErrorMessage="1" sqref="B5:B22" xr:uid="{00000000-0002-0000-1200-000000000000}">
      <formula1>RISK_LEVEL</formula1>
    </dataValidation>
  </dataValidations>
  <pageMargins left="0.25" right="0.25" top="0.4" bottom="0.4" header="0.3" footer="0.3"/>
  <pageSetup fitToHeight="0" orientation="landscape"/>
  <headerFooter>
    <oddHeader>&amp;L希望之光 Hope Light&amp;C品牌營運管理系統&amp;R&amp;D</oddHeader>
    <oddFooter>&amp;L[Codex] 初版｜待確認資料不可直接對外&amp;R第 &amp;P / &amp;N 頁</oddFooter>
  </headerFooter>
  <tableParts count="2">
    <tablePart r:id="rId1"/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R24"/>
  <sheetViews>
    <sheetView workbookViewId="0"/>
  </sheetViews>
  <sheetFormatPr defaultRowHeight="15"/>
  <sheetData>
    <row r="1" spans="1:18">
      <c r="A1" t="s">
        <v>1474</v>
      </c>
      <c r="B1" t="s">
        <v>1475</v>
      </c>
      <c r="C1" t="s">
        <v>1478</v>
      </c>
      <c r="D1" t="s">
        <v>1479</v>
      </c>
      <c r="E1" t="s">
        <v>1485</v>
      </c>
      <c r="F1" t="s">
        <v>1491</v>
      </c>
      <c r="G1" t="s">
        <v>1498</v>
      </c>
      <c r="H1" t="s">
        <v>1507</v>
      </c>
      <c r="I1" t="s">
        <v>1514</v>
      </c>
      <c r="J1" t="s">
        <v>1522</v>
      </c>
      <c r="K1" t="s">
        <v>1526</v>
      </c>
      <c r="L1" t="s">
        <v>1527</v>
      </c>
      <c r="M1" t="s">
        <v>1534</v>
      </c>
      <c r="N1" t="s">
        <v>1535</v>
      </c>
      <c r="O1" t="s">
        <v>1542</v>
      </c>
      <c r="P1" t="s">
        <v>1548</v>
      </c>
      <c r="Q1" t="s">
        <v>1553</v>
      </c>
      <c r="R1" t="s">
        <v>1558</v>
      </c>
    </row>
    <row r="2" spans="1:18">
      <c r="A2" t="s">
        <v>416</v>
      </c>
      <c r="B2" t="s">
        <v>675</v>
      </c>
      <c r="C2" t="s">
        <v>423</v>
      </c>
      <c r="D2" t="s">
        <v>93</v>
      </c>
      <c r="E2" t="s">
        <v>1486</v>
      </c>
      <c r="F2" t="s">
        <v>1492</v>
      </c>
      <c r="G2" t="s">
        <v>1499</v>
      </c>
      <c r="H2" t="s">
        <v>1508</v>
      </c>
      <c r="I2" t="s">
        <v>1515</v>
      </c>
      <c r="J2" t="s">
        <v>421</v>
      </c>
      <c r="K2" t="s">
        <v>811</v>
      </c>
      <c r="L2" t="s">
        <v>796</v>
      </c>
      <c r="M2" t="s">
        <v>789</v>
      </c>
      <c r="N2" t="s">
        <v>1492</v>
      </c>
      <c r="O2" t="s">
        <v>734</v>
      </c>
      <c r="P2" t="s">
        <v>1549</v>
      </c>
      <c r="Q2" t="s">
        <v>735</v>
      </c>
      <c r="R2" t="s">
        <v>1559</v>
      </c>
    </row>
    <row r="3" spans="1:18">
      <c r="A3" t="s">
        <v>427</v>
      </c>
      <c r="B3" t="s">
        <v>676</v>
      </c>
      <c r="C3" t="s">
        <v>507</v>
      </c>
      <c r="D3" t="s">
        <v>1480</v>
      </c>
      <c r="E3" t="s">
        <v>1487</v>
      </c>
      <c r="F3" t="s">
        <v>1493</v>
      </c>
      <c r="G3" t="s">
        <v>1500</v>
      </c>
      <c r="H3" t="s">
        <v>1509</v>
      </c>
      <c r="I3" t="s">
        <v>1516</v>
      </c>
      <c r="J3" t="s">
        <v>1523</v>
      </c>
      <c r="K3" t="s">
        <v>589</v>
      </c>
      <c r="L3" t="s">
        <v>1528</v>
      </c>
      <c r="M3" t="s">
        <v>804</v>
      </c>
      <c r="N3" t="s">
        <v>1536</v>
      </c>
      <c r="O3" t="s">
        <v>1543</v>
      </c>
      <c r="P3" t="s">
        <v>1550</v>
      </c>
      <c r="Q3" t="s">
        <v>1554</v>
      </c>
      <c r="R3" t="s">
        <v>1560</v>
      </c>
    </row>
    <row r="4" spans="1:18">
      <c r="A4" t="s">
        <v>432</v>
      </c>
      <c r="B4" t="s">
        <v>679</v>
      </c>
      <c r="C4" t="s">
        <v>734</v>
      </c>
      <c r="D4" t="s">
        <v>1481</v>
      </c>
      <c r="E4" t="s">
        <v>1488</v>
      </c>
      <c r="F4" t="s">
        <v>40</v>
      </c>
      <c r="G4" t="s">
        <v>1501</v>
      </c>
      <c r="H4" t="s">
        <v>1510</v>
      </c>
      <c r="I4" t="s">
        <v>1517</v>
      </c>
      <c r="J4" t="s">
        <v>1524</v>
      </c>
      <c r="K4" t="s">
        <v>543</v>
      </c>
      <c r="L4" t="s">
        <v>1529</v>
      </c>
      <c r="M4" t="s">
        <v>798</v>
      </c>
      <c r="N4" t="s">
        <v>1537</v>
      </c>
      <c r="O4" t="s">
        <v>1544</v>
      </c>
      <c r="P4" t="s">
        <v>1551</v>
      </c>
      <c r="Q4" t="s">
        <v>1555</v>
      </c>
      <c r="R4" t="s">
        <v>709</v>
      </c>
    </row>
    <row r="5" spans="1:18">
      <c r="A5" t="s">
        <v>437</v>
      </c>
      <c r="B5" t="s">
        <v>677</v>
      </c>
      <c r="D5" t="s">
        <v>1482</v>
      </c>
      <c r="E5" t="s">
        <v>730</v>
      </c>
      <c r="F5" t="s">
        <v>1494</v>
      </c>
      <c r="G5" t="s">
        <v>1502</v>
      </c>
      <c r="H5" t="s">
        <v>1511</v>
      </c>
      <c r="I5" t="s">
        <v>1518</v>
      </c>
      <c r="J5" t="s">
        <v>1310</v>
      </c>
      <c r="L5" t="s">
        <v>1530</v>
      </c>
      <c r="M5" t="s">
        <v>844</v>
      </c>
      <c r="N5" t="s">
        <v>1538</v>
      </c>
      <c r="O5" t="s">
        <v>1545</v>
      </c>
      <c r="P5" t="s">
        <v>1552</v>
      </c>
      <c r="Q5" t="s">
        <v>1556</v>
      </c>
      <c r="R5" t="s">
        <v>1561</v>
      </c>
    </row>
    <row r="6" spans="1:18">
      <c r="A6" t="s">
        <v>443</v>
      </c>
      <c r="B6" t="s">
        <v>680</v>
      </c>
      <c r="D6" t="s">
        <v>1483</v>
      </c>
      <c r="E6" t="s">
        <v>1489</v>
      </c>
      <c r="F6" t="s">
        <v>1495</v>
      </c>
      <c r="G6" t="s">
        <v>1503</v>
      </c>
      <c r="H6" t="s">
        <v>1512</v>
      </c>
      <c r="I6" t="s">
        <v>1519</v>
      </c>
      <c r="J6" t="s">
        <v>1525</v>
      </c>
      <c r="L6" t="s">
        <v>1483</v>
      </c>
      <c r="M6" t="s">
        <v>1020</v>
      </c>
      <c r="N6" t="s">
        <v>40</v>
      </c>
      <c r="O6" t="s">
        <v>1546</v>
      </c>
      <c r="Q6" t="s">
        <v>91</v>
      </c>
      <c r="R6" t="s">
        <v>1503</v>
      </c>
    </row>
    <row r="7" spans="1:18">
      <c r="A7" t="s">
        <v>446</v>
      </c>
      <c r="B7" t="s">
        <v>678</v>
      </c>
      <c r="D7" t="s">
        <v>1310</v>
      </c>
      <c r="E7" t="s">
        <v>1490</v>
      </c>
      <c r="F7" t="s">
        <v>1496</v>
      </c>
      <c r="G7" t="s">
        <v>1504</v>
      </c>
      <c r="H7" t="s">
        <v>1513</v>
      </c>
      <c r="I7" t="s">
        <v>1520</v>
      </c>
      <c r="J7" t="s">
        <v>1521</v>
      </c>
      <c r="L7" t="s">
        <v>1531</v>
      </c>
      <c r="M7" t="s">
        <v>837</v>
      </c>
      <c r="N7" t="s">
        <v>1494</v>
      </c>
      <c r="O7" t="s">
        <v>1547</v>
      </c>
      <c r="Q7" t="s">
        <v>1557</v>
      </c>
      <c r="R7" t="s">
        <v>1490</v>
      </c>
    </row>
    <row r="8" spans="1:18">
      <c r="A8" t="s">
        <v>451</v>
      </c>
      <c r="B8" t="s">
        <v>682</v>
      </c>
      <c r="D8" t="s">
        <v>1484</v>
      </c>
      <c r="F8" t="s">
        <v>1497</v>
      </c>
      <c r="G8" t="s">
        <v>1505</v>
      </c>
      <c r="H8" t="s">
        <v>421</v>
      </c>
      <c r="I8" t="s">
        <v>1521</v>
      </c>
      <c r="L8" t="s">
        <v>1532</v>
      </c>
      <c r="N8" t="s">
        <v>1539</v>
      </c>
    </row>
    <row r="9" spans="1:18">
      <c r="A9" t="s">
        <v>454</v>
      </c>
      <c r="B9" t="s">
        <v>1476</v>
      </c>
      <c r="F9" t="s">
        <v>558</v>
      </c>
      <c r="G9" t="s">
        <v>1506</v>
      </c>
      <c r="L9" t="s">
        <v>1533</v>
      </c>
      <c r="N9" t="s">
        <v>1540</v>
      </c>
    </row>
    <row r="10" spans="1:18">
      <c r="A10" t="s">
        <v>460</v>
      </c>
      <c r="B10" t="s">
        <v>1477</v>
      </c>
      <c r="G10" t="s">
        <v>1490</v>
      </c>
      <c r="N10" t="s">
        <v>1541</v>
      </c>
    </row>
    <row r="11" spans="1:18">
      <c r="A11" t="s">
        <v>468</v>
      </c>
    </row>
    <row r="12" spans="1:18">
      <c r="A12" t="s">
        <v>470</v>
      </c>
    </row>
    <row r="13" spans="1:18">
      <c r="A13" t="s">
        <v>472</v>
      </c>
    </row>
    <row r="14" spans="1:18">
      <c r="A14" t="s">
        <v>474</v>
      </c>
    </row>
    <row r="15" spans="1:18">
      <c r="A15" t="s">
        <v>476</v>
      </c>
    </row>
    <row r="16" spans="1:18">
      <c r="A16" t="s">
        <v>479</v>
      </c>
    </row>
    <row r="17" spans="1:1">
      <c r="A17" t="s">
        <v>482</v>
      </c>
    </row>
    <row r="18" spans="1:1">
      <c r="A18" t="s">
        <v>485</v>
      </c>
    </row>
    <row r="19" spans="1:1">
      <c r="A19" t="s">
        <v>488</v>
      </c>
    </row>
    <row r="20" spans="1:1">
      <c r="A20" t="s">
        <v>492</v>
      </c>
    </row>
    <row r="21" spans="1:1">
      <c r="A21" t="s">
        <v>501</v>
      </c>
    </row>
    <row r="22" spans="1:1">
      <c r="A22" t="s">
        <v>509</v>
      </c>
    </row>
    <row r="23" spans="1:1">
      <c r="A23" t="s">
        <v>513</v>
      </c>
    </row>
    <row r="24" spans="1:1">
      <c r="A24" t="s">
        <v>520</v>
      </c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20</vt:i4>
      </vt:variant>
      <vt:variant>
        <vt:lpstr>具名範圍</vt:lpstr>
      </vt:variant>
      <vt:variant>
        <vt:i4>18</vt:i4>
      </vt:variant>
    </vt:vector>
  </HeadingPairs>
  <TitlesOfParts>
    <vt:vector size="38" baseType="lpstr">
      <vt:lpstr>00_使用說明</vt:lpstr>
      <vt:lpstr>01_品牌儀表板</vt:lpstr>
      <vt:lpstr>02_90天路徑</vt:lpstr>
      <vt:lpstr>03_產品主檔</vt:lpstr>
      <vt:lpstr>04_產品介紹</vt:lpstr>
      <vt:lpstr>05_庫存異動</vt:lpstr>
      <vt:lpstr>06_庫存總覽</vt:lpstr>
      <vt:lpstr>07_銷售訂單</vt:lpstr>
      <vt:lpstr>08_客戶CRM</vt:lpstr>
      <vt:lpstr>09_服務紀錄</vt:lpstr>
      <vt:lpstr>10_回訪任務</vt:lpstr>
      <vt:lpstr>11_內容主題庫</vt:lpstr>
      <vt:lpstr>12_內容成效</vt:lpstr>
      <vt:lpstr>13_希望故事庫</vt:lpstr>
      <vt:lpstr>14_LINE漏斗</vt:lpstr>
      <vt:lpstr>15_LINE回覆SOP</vt:lpstr>
      <vt:lpstr>16_分潤試算</vt:lpstr>
      <vt:lpstr>17_品牌決策</vt:lpstr>
      <vt:lpstr>18_資料核對</vt:lpstr>
      <vt:lpstr>19_選單</vt:lpstr>
      <vt:lpstr>CHANNEL_LIST</vt:lpstr>
      <vt:lpstr>CONSENT_STATUS</vt:lpstr>
      <vt:lpstr>CONTENT_STATUS</vt:lpstr>
      <vt:lpstr>CONTENT_TYPE</vt:lpstr>
      <vt:lpstr>CRM_STATUS</vt:lpstr>
      <vt:lpstr>CUSTOMER_TYPE</vt:lpstr>
      <vt:lpstr>FIVE_DIM_LIST</vt:lpstr>
      <vt:lpstr>FULFILL_STATUS</vt:lpstr>
      <vt:lpstr>FUNNEL_STAGE</vt:lpstr>
      <vt:lpstr>GENERAL_STATUS</vt:lpstr>
      <vt:lpstr>INV_TYPE_LIST</vt:lpstr>
      <vt:lpstr>OWNER_LIST</vt:lpstr>
      <vt:lpstr>PAYMENT_STATUS</vt:lpstr>
      <vt:lpstr>PLATFORM_LIST</vt:lpstr>
      <vt:lpstr>PRIVACY_LEVEL</vt:lpstr>
      <vt:lpstr>RISK_LEVEL</vt:lpstr>
      <vt:lpstr>SKU_LIST</vt:lpstr>
      <vt:lpstr>YES_NO_UNKNOWN</vt:lpstr>
    </vt:vector>
  </TitlesOfParts>
  <Company>希望之光 Hope Light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希望之光品牌營運管理系統</dc:title>
  <dc:subject>品牌、產品、庫存、CRM、內容與90天執行</dc:subject>
  <dc:creator>[Codex] for Hope Light</dc:creator>
  <dc:description>依2026-08-09提供來源整理；待確認項目不可視為正式核准資料。</dc:description>
  <cp:lastModifiedBy>大倫 黃</cp:lastModifiedBy>
  <dcterms:created xsi:type="dcterms:W3CDTF">2026-08-09T08:49:56Z</dcterms:created>
  <dcterms:modified xsi:type="dcterms:W3CDTF">2026-08-09T10:51:27Z</dcterms:modified>
</cp:coreProperties>
</file>