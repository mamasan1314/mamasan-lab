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簡易報價" sheetId="1" r:id="rId1"/>
    <sheet name="簡易庫存" sheetId="2" r:id="rId2"/>
    <sheet name="簡易介紹" sheetId="3" r:id="rId3"/>
  </sheets>
  <definedNames>
    <definedName name="_xlnm.Print_Titles" localSheetId="2">簡易介紹!$1:$4</definedName>
    <definedName name="_xlnm.Print_Titles" localSheetId="0">簡易報價!$1:$4</definedName>
    <definedName name="_xlnm.Print_Titles" localSheetId="1">簡易庫存!$1:$4</definedName>
  </definedNames>
  <calcPr calcId="124519" fullCalcOnLoad="1"/>
</workbook>
</file>

<file path=xl/sharedStrings.xml><?xml version="1.0" encoding="utf-8"?>
<sst xmlns="http://schemas.openxmlformats.org/spreadsheetml/2006/main" count="104" uniqueCount="72">
  <si>
    <t>希望之光｜一人工作室簡易報價</t>
  </si>
  <si>
    <t>平常只用這7項。黃底填數量；價格有衝突的大小貴人先不要對外報價。金額單位：新台幣。</t>
  </si>
  <si>
    <t>產品／服務</t>
  </si>
  <si>
    <t>單價</t>
  </si>
  <si>
    <t>價格狀態</t>
  </si>
  <si>
    <t>數量</t>
  </si>
  <si>
    <t>小計</t>
  </si>
  <si>
    <t>備註</t>
  </si>
  <si>
    <t>頻率蠟燭1-10號（任選）</t>
  </si>
  <si>
    <t>來源售價，待老師核准</t>
  </si>
  <si>
    <t>報價時填寫蠟燭號碼</t>
  </si>
  <si>
    <t>21顆蠟燭＋10分鐘諮詢首購組</t>
  </si>
  <si>
    <t>內容、運費與成本待確認</t>
  </si>
  <si>
    <t>大貴人－9個頻道</t>
  </si>
  <si>
    <t>價格衝突，暫勿對外</t>
  </si>
  <si>
    <t>來源另有24,900</t>
  </si>
  <si>
    <t>小貴人－9個頻道</t>
  </si>
  <si>
    <t>來源另有16,800</t>
  </si>
  <si>
    <t>大貴人－7個頻道</t>
  </si>
  <si>
    <t>版本差異待確認</t>
  </si>
  <si>
    <t>腦意識觀察／檢測90分鐘</t>
  </si>
  <si>
    <t>正式名稱待老師核准</t>
  </si>
  <si>
    <t>深度諮詢60分鐘</t>
  </si>
  <si>
    <t>已確認，可報價</t>
  </si>
  <si>
    <t>[User] 2026-08-09確認</t>
  </si>
  <si>
    <t>希望之光｜一人工作室簡易庫存</t>
  </si>
  <si>
    <t>每週固定一天盤點即可。只填黃底三欄，不使用舊表數字；剩餘數量會自動計算。</t>
  </si>
  <si>
    <t>產品</t>
  </si>
  <si>
    <t>盤點數量</t>
  </si>
  <si>
    <t>本週售出</t>
  </si>
  <si>
    <t>剩餘數量</t>
  </si>
  <si>
    <t>盤點日期</t>
  </si>
  <si>
    <t>1號 防護除穢</t>
  </si>
  <si>
    <t>2號 財富豐盛</t>
  </si>
  <si>
    <t>3號 吸引顧客</t>
  </si>
  <si>
    <t>4號 吸引桃花</t>
  </si>
  <si>
    <t>5號 貴人常臨</t>
  </si>
  <si>
    <t>6號 學業進步</t>
  </si>
  <si>
    <t>7號 小人退散</t>
  </si>
  <si>
    <t>8號 好運爆棚</t>
  </si>
  <si>
    <t>9號 感情升溫</t>
  </si>
  <si>
    <t>10號 舒壓好眠</t>
  </si>
  <si>
    <t>希望之光｜一人工作室簡易產品介紹</t>
  </si>
  <si>
    <t>老師不需要背長文，只要先用『一句話怎麼說』回答。避免治療、改運與保證效果。</t>
  </si>
  <si>
    <t>一句話怎麼說</t>
  </si>
  <si>
    <t>適合什麼時刻</t>
  </si>
  <si>
    <t>客戶下一步</t>
  </si>
  <si>
    <t>目前狀態</t>
  </si>
  <si>
    <t>頻率蠟燭1-10號</t>
  </si>
  <si>
    <t>把需要停下來的時刻，變成五分鐘整理自己的小儀式。</t>
  </si>
  <si>
    <t>工作、關係、學習、回家後或睡前</t>
  </si>
  <si>
    <t>選一個現在最需要整理的情境</t>
  </si>
  <si>
    <t>名稱與內容待老師核准</t>
  </si>
  <si>
    <t>在需要安靜整理狀態與行動節奏時，提供固定的陪伴提醒。</t>
  </si>
  <si>
    <t>會談、工作轉換或個人整理前</t>
  </si>
  <si>
    <t>加入LINE了解頻道與使用方式</t>
  </si>
  <si>
    <t>價格、頻道與規格待確認</t>
  </si>
  <si>
    <t>把短暫停頓變成日常可以重複的節奏提醒。</t>
  </si>
  <si>
    <t>會議、專注、休息或外出時</t>
  </si>
  <si>
    <t>加入LINE了解適合情境</t>
  </si>
  <si>
    <t>較精簡的日常整理版本，先依使用情境確認是否適合。</t>
  </si>
  <si>
    <t>待老師補充</t>
  </si>
  <si>
    <t>加入LINE詢問版本差異</t>
  </si>
  <si>
    <t>版本差異與價格待確認</t>
  </si>
  <si>
    <t>用結構化觀察與對談，整理自己的思維模式與下一步。</t>
  </si>
  <si>
    <t>反覆卡在工作、關係或選擇時</t>
  </si>
  <si>
    <t>加入LINE預約</t>
  </si>
  <si>
    <t>售價與正式名稱待核准</t>
  </si>
  <si>
    <t>把零散的感受與問題，整理成一個可以前進的方向。</t>
  </si>
  <si>
    <t>已看見問題、需要進一步整理時</t>
  </si>
  <si>
    <t>加入LINE選擇諮詢主題</t>
  </si>
  <si>
    <t>售價1,980已確認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</si>
</sst>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"/>
  </numFmts>
  <fonts count="4">
    <font>
      <sz val="11"/>
      <color theme="1"/>
      <name val="Calibri"/>
      <family val="2"/>
      <scheme val="minor"/>
    </font>
    <font>
      <b/>
      <sz val="18"/>
      <color rgb="FFFFFFFF"/>
      <name val="Microsoft JhengHei"/>
      <family val="2"/>
    </font>
    <font>
      <sz val="10"/>
      <color rgb="FF66717D"/>
      <name val="Microsoft JhengHei"/>
      <family val="2"/>
    </font>
    <font>
      <sz val="10"/>
      <color theme="1"/>
      <name val="Microsoft JhengHei"/>
      <family val="2"/>
    </font>
  </fonts>
  <fills count="5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8EDD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164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3F7D52"/>
      </font>
      <fill>
        <patternFill>
          <bgColor rgb="FFDDEEDC"/>
        </patternFill>
      </fill>
    </dxf>
    <dxf>
      <font>
        <color rgb="FFB54B4B"/>
      </font>
      <fill>
        <patternFill>
          <bgColor rgb="FFF7DED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oloQuote" displayName="SoloQuote" ref="A4:F11" totalsRowShown="0">
  <autoFilter ref="A4:F11"/>
  <tableColumns count="6">
    <tableColumn id="1" name="產品／服務"/>
    <tableColumn id="2" name="單價"/>
    <tableColumn id="3" name="價格狀態"/>
    <tableColumn id="4" name="數量"/>
    <tableColumn id="5" name="小計"/>
    <tableColumn id="6" name="備註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SoloInventory" displayName="SoloInventory" ref="A4:F17" totalsRowShown="0">
  <autoFilter ref="A4:F17"/>
  <tableColumns count="6">
    <tableColumn id="1" name="產品"/>
    <tableColumn id="2" name="盤點數量"/>
    <tableColumn id="3" name="本週售出"/>
    <tableColumn id="4" name="剩餘數量"/>
    <tableColumn id="5" name="盤點日期"/>
    <tableColumn id="6" name="備註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SoloIntro" displayName="SoloIntro" ref="A4:E10" totalsRowShown="0">
  <autoFilter ref="A4:E10"/>
  <tableColumns count="5">
    <tableColumn id="1" name="產品／服務"/>
    <tableColumn id="2" name="一句話怎麼說"/>
    <tableColumn id="3" name="適合什麼時刻"/>
    <tableColumn id="4" name="客戶下一步"/>
    <tableColumn id="5" name="目前狀態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F7D73"/>
    <pageSetUpPr fitToPage="1"/>
  </sheetPr>
  <dimension ref="A1:F11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1" width="36.7109375" customWidth="1"/>
    <col min="2" max="2" width="13.7109375" customWidth="1"/>
    <col min="3" max="3" width="24.7109375" customWidth="1"/>
    <col min="4" max="4" width="10.7109375" customWidth="1"/>
    <col min="5" max="5" width="14.7109375" customWidth="1"/>
    <col min="6" max="6" width="38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 ht="34" customHeight="1">
      <c r="A2" s="2" t="s">
        <v>1</v>
      </c>
      <c r="B2" s="2"/>
      <c r="C2" s="2"/>
      <c r="D2" s="2"/>
      <c r="E2" s="2"/>
      <c r="F2" s="2"/>
    </row>
    <row r="4" spans="1:6" ht="34" customHeight="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 ht="40" customHeight="1">
      <c r="A5" s="3" t="s">
        <v>8</v>
      </c>
      <c r="B5" s="4">
        <v>139</v>
      </c>
      <c r="C5" s="5" t="s">
        <v>9</v>
      </c>
      <c r="D5" s="6"/>
      <c r="E5" s="4">
        <f>IF(OR(B5="",D5=""),"",B5*D5)</f>
        <v/>
      </c>
      <c r="F5" s="3" t="s">
        <v>10</v>
      </c>
    </row>
    <row r="6" spans="1:6" ht="40" customHeight="1">
      <c r="A6" s="3" t="s">
        <v>11</v>
      </c>
      <c r="B6" s="4">
        <v>2980</v>
      </c>
      <c r="C6" s="5" t="s">
        <v>9</v>
      </c>
      <c r="D6" s="6"/>
      <c r="E6" s="4">
        <f>IF(OR(B6="",D6=""),"",B6*D6)</f>
        <v/>
      </c>
      <c r="F6" s="3" t="s">
        <v>12</v>
      </c>
    </row>
    <row r="7" spans="1:6" ht="40" customHeight="1">
      <c r="A7" s="3" t="s">
        <v>13</v>
      </c>
      <c r="B7" s="4">
        <v>16800</v>
      </c>
      <c r="C7" s="5" t="s">
        <v>14</v>
      </c>
      <c r="D7" s="6"/>
      <c r="E7" s="4">
        <f>IF(OR(B7="",D7=""),"",B7*D7)</f>
        <v/>
      </c>
      <c r="F7" s="3" t="s">
        <v>15</v>
      </c>
    </row>
    <row r="8" spans="1:6" ht="40" customHeight="1">
      <c r="A8" s="3" t="s">
        <v>16</v>
      </c>
      <c r="B8" s="4">
        <v>24900</v>
      </c>
      <c r="C8" s="5" t="s">
        <v>14</v>
      </c>
      <c r="D8" s="6"/>
      <c r="E8" s="4">
        <f>IF(OR(B8="",D8=""),"",B8*D8)</f>
        <v/>
      </c>
      <c r="F8" s="3" t="s">
        <v>17</v>
      </c>
    </row>
    <row r="9" spans="1:6" ht="40" customHeight="1">
      <c r="A9" s="3" t="s">
        <v>18</v>
      </c>
      <c r="B9" s="4">
        <v>16800</v>
      </c>
      <c r="C9" s="5" t="s">
        <v>14</v>
      </c>
      <c r="D9" s="6"/>
      <c r="E9" s="4">
        <f>IF(OR(B9="",D9=""),"",B9*D9)</f>
        <v/>
      </c>
      <c r="F9" s="3" t="s">
        <v>19</v>
      </c>
    </row>
    <row r="10" spans="1:6" ht="40" customHeight="1">
      <c r="A10" s="3" t="s">
        <v>20</v>
      </c>
      <c r="B10" s="4">
        <v>2980</v>
      </c>
      <c r="C10" s="5" t="s">
        <v>9</v>
      </c>
      <c r="D10" s="6"/>
      <c r="E10" s="4">
        <f>IF(OR(B10="",D10=""),"",B10*D10)</f>
        <v/>
      </c>
      <c r="F10" s="3" t="s">
        <v>21</v>
      </c>
    </row>
    <row r="11" spans="1:6" ht="40" customHeight="1">
      <c r="A11" s="3" t="s">
        <v>22</v>
      </c>
      <c r="B11" s="4">
        <v>1980</v>
      </c>
      <c r="C11" s="5" t="s">
        <v>23</v>
      </c>
      <c r="D11" s="6"/>
      <c r="E11" s="4">
        <f>IF(OR(B11="",D11=""),"",B11*D11)</f>
        <v/>
      </c>
      <c r="F11" s="3" t="s">
        <v>24</v>
      </c>
    </row>
  </sheetData>
  <mergeCells count="2">
    <mergeCell ref="A1:F1"/>
    <mergeCell ref="A2:F2"/>
  </mergeCells>
  <conditionalFormatting sqref="C5:C11">
    <cfRule type="containsText" dxfId="0" priority="1" operator="containsText" text="已確認">
      <formula>NOT(ISERROR(SEARCH("已確認",C5)))</formula>
    </cfRule>
    <cfRule type="containsText" dxfId="1" priority="2" operator="containsText" text="衝突">
      <formula>NOT(ISERROR(SEARCH("衝突",C5)))</formula>
    </cfRule>
  </conditionalFormatting>
  <dataValidations count="1">
    <dataValidation type="whole" operator="greaterThanOrEqual" allowBlank="1" showInputMessage="1" showErrorMessage="1" sqref="D5:D11">
      <formula1>0</formula1>
    </dataValidation>
  </dataValidations>
  <pageMargins left="0.35" right="0.35" top="0.5" bottom="0.5" header="0.3" footer="0.3"/>
  <pageSetup fitToHeight="0" orientation="landscape"/>
  <headerFooter>
    <oddHeader>&amp;L&amp;"Microsoft JhengHei,Bold"希望之光｜一人工作室簡易報價&amp;R希望之光</oddHeader>
    <oddFooter>&amp;C第 &amp;P / &amp;N 頁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7D73"/>
    <pageSetUpPr fitToPage="1"/>
  </sheetPr>
  <dimension ref="A1:F17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6.7109375" customWidth="1"/>
    <col min="2" max="4" width="13.7109375" customWidth="1"/>
    <col min="5" max="5" width="15.7109375" customWidth="1"/>
    <col min="6" max="6" width="42.7109375" customWidth="1"/>
  </cols>
  <sheetData>
    <row r="1" spans="1:6" ht="30" customHeight="1">
      <c r="A1" s="1" t="s">
        <v>25</v>
      </c>
      <c r="B1" s="1"/>
      <c r="C1" s="1"/>
      <c r="D1" s="1"/>
      <c r="E1" s="1"/>
      <c r="F1" s="1"/>
    </row>
    <row r="2" spans="1:6" ht="34" customHeight="1">
      <c r="A2" s="2" t="s">
        <v>26</v>
      </c>
      <c r="B2" s="2"/>
      <c r="C2" s="2"/>
      <c r="D2" s="2"/>
      <c r="E2" s="2"/>
      <c r="F2" s="2"/>
    </row>
    <row r="4" spans="1:6" ht="34" customHeight="1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7</v>
      </c>
    </row>
    <row r="5" spans="1:6" ht="38" customHeight="1">
      <c r="A5" s="3" t="s">
        <v>32</v>
      </c>
      <c r="B5" s="6"/>
      <c r="C5" s="6"/>
      <c r="D5" s="5">
        <f>IF(B5="","",B5-IF(C5="",0,C5))</f>
        <v/>
      </c>
      <c r="E5" s="7"/>
      <c r="F5" s="3"/>
    </row>
    <row r="6" spans="1:6" ht="38" customHeight="1">
      <c r="A6" s="3" t="s">
        <v>33</v>
      </c>
      <c r="B6" s="6"/>
      <c r="C6" s="6"/>
      <c r="D6" s="5">
        <f>IF(B6="","",B6-IF(C6="",0,C6))</f>
        <v/>
      </c>
      <c r="E6" s="7"/>
      <c r="F6" s="3"/>
    </row>
    <row r="7" spans="1:6" ht="38" customHeight="1">
      <c r="A7" s="3" t="s">
        <v>34</v>
      </c>
      <c r="B7" s="6"/>
      <c r="C7" s="6"/>
      <c r="D7" s="5">
        <f>IF(B7="","",B7-IF(C7="",0,C7))</f>
        <v/>
      </c>
      <c r="E7" s="7"/>
      <c r="F7" s="3"/>
    </row>
    <row r="8" spans="1:6" ht="38" customHeight="1">
      <c r="A8" s="3" t="s">
        <v>35</v>
      </c>
      <c r="B8" s="6"/>
      <c r="C8" s="6"/>
      <c r="D8" s="5">
        <f>IF(B8="","",B8-IF(C8="",0,C8))</f>
        <v/>
      </c>
      <c r="E8" s="7"/>
      <c r="F8" s="3"/>
    </row>
    <row r="9" spans="1:6" ht="38" customHeight="1">
      <c r="A9" s="3" t="s">
        <v>36</v>
      </c>
      <c r="B9" s="6"/>
      <c r="C9" s="6"/>
      <c r="D9" s="5">
        <f>IF(B9="","",B9-IF(C9="",0,C9))</f>
        <v/>
      </c>
      <c r="E9" s="7"/>
      <c r="F9" s="3"/>
    </row>
    <row r="10" spans="1:6" ht="38" customHeight="1">
      <c r="A10" s="3" t="s">
        <v>37</v>
      </c>
      <c r="B10" s="6"/>
      <c r="C10" s="6"/>
      <c r="D10" s="5">
        <f>IF(B10="","",B10-IF(C10="",0,C10))</f>
        <v/>
      </c>
      <c r="E10" s="7"/>
      <c r="F10" s="3"/>
    </row>
    <row r="11" spans="1:6" ht="38" customHeight="1">
      <c r="A11" s="3" t="s">
        <v>38</v>
      </c>
      <c r="B11" s="6"/>
      <c r="C11" s="6"/>
      <c r="D11" s="5">
        <f>IF(B11="","",B11-IF(C11="",0,C11))</f>
        <v/>
      </c>
      <c r="E11" s="7"/>
      <c r="F11" s="3"/>
    </row>
    <row r="12" spans="1:6" ht="38" customHeight="1">
      <c r="A12" s="3" t="s">
        <v>39</v>
      </c>
      <c r="B12" s="6"/>
      <c r="C12" s="6"/>
      <c r="D12" s="5">
        <f>IF(B12="","",B12-IF(C12="",0,C12))</f>
        <v/>
      </c>
      <c r="E12" s="7"/>
      <c r="F12" s="3"/>
    </row>
    <row r="13" spans="1:6" ht="38" customHeight="1">
      <c r="A13" s="3" t="s">
        <v>40</v>
      </c>
      <c r="B13" s="6"/>
      <c r="C13" s="6"/>
      <c r="D13" s="5">
        <f>IF(B13="","",B13-IF(C13="",0,C13))</f>
        <v/>
      </c>
      <c r="E13" s="7"/>
      <c r="F13" s="3"/>
    </row>
    <row r="14" spans="1:6" ht="38" customHeight="1">
      <c r="A14" s="3" t="s">
        <v>41</v>
      </c>
      <c r="B14" s="6"/>
      <c r="C14" s="6"/>
      <c r="D14" s="5">
        <f>IF(B14="","",B14-IF(C14="",0,C14))</f>
        <v/>
      </c>
      <c r="E14" s="7"/>
      <c r="F14" s="3"/>
    </row>
    <row r="15" spans="1:6" ht="38" customHeight="1">
      <c r="A15" s="3" t="s">
        <v>13</v>
      </c>
      <c r="B15" s="6"/>
      <c r="C15" s="6"/>
      <c r="D15" s="5">
        <f>IF(B15="","",B15-IF(C15="",0,C15))</f>
        <v/>
      </c>
      <c r="E15" s="7"/>
      <c r="F15" s="3"/>
    </row>
    <row r="16" spans="1:6" ht="38" customHeight="1">
      <c r="A16" s="3" t="s">
        <v>16</v>
      </c>
      <c r="B16" s="6"/>
      <c r="C16" s="6"/>
      <c r="D16" s="5">
        <f>IF(B16="","",B16-IF(C16="",0,C16))</f>
        <v/>
      </c>
      <c r="E16" s="7"/>
      <c r="F16" s="3"/>
    </row>
    <row r="17" spans="1:6" ht="38" customHeight="1">
      <c r="A17" s="3" t="s">
        <v>18</v>
      </c>
      <c r="B17" s="6"/>
      <c r="C17" s="6"/>
      <c r="D17" s="5">
        <f>IF(B17="","",B17-IF(C17="",0,C17))</f>
        <v/>
      </c>
      <c r="E17" s="7"/>
      <c r="F17" s="3"/>
    </row>
  </sheetData>
  <mergeCells count="2">
    <mergeCell ref="A1:F1"/>
    <mergeCell ref="A2:F2"/>
  </mergeCells>
  <dataValidations count="2">
    <dataValidation type="whole" operator="greaterThanOrEqual" allowBlank="1" showInputMessage="1" showErrorMessage="1" sqref="B5:C17">
      <formula1>0</formula1>
    </dataValidation>
    <dataValidation type="date" allowBlank="1" showInputMessage="1" showErrorMessage="1" sqref="E5:E17">
      <formula1>43831</formula1>
      <formula2>73415</formula2>
    </dataValidation>
  </dataValidations>
  <pageMargins left="0.35" right="0.35" top="0.5" bottom="0.5" header="0.3" footer="0.3"/>
  <pageSetup fitToHeight="0" orientation="landscape"/>
  <headerFooter>
    <oddHeader>&amp;L&amp;"Microsoft JhengHei,Bold"希望之光｜一人工作室簡易庫存&amp;R希望之光</oddHeader>
    <oddFooter>&amp;C第 &amp;P / &amp;N 頁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7D73"/>
    <pageSetUpPr fitToPage="1"/>
  </sheetPr>
  <dimension ref="A1:E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0.7109375" customWidth="1"/>
    <col min="2" max="2" width="58.7109375" customWidth="1"/>
    <col min="3" max="3" width="40.7109375" customWidth="1"/>
    <col min="4" max="4" width="34.7109375" customWidth="1"/>
    <col min="5" max="5" width="30.7109375" customWidth="1"/>
  </cols>
  <sheetData>
    <row r="1" spans="1:5" ht="30" customHeight="1">
      <c r="A1" s="1" t="s">
        <v>42</v>
      </c>
      <c r="B1" s="1"/>
      <c r="C1" s="1"/>
      <c r="D1" s="1"/>
      <c r="E1" s="1"/>
    </row>
    <row r="2" spans="1:5" ht="34" customHeight="1">
      <c r="A2" s="2" t="s">
        <v>43</v>
      </c>
      <c r="B2" s="2"/>
      <c r="C2" s="2"/>
      <c r="D2" s="2"/>
      <c r="E2" s="2"/>
    </row>
    <row r="4" spans="1:5" ht="34" customHeight="1">
      <c r="A4" t="s">
        <v>2</v>
      </c>
      <c r="B4" t="s">
        <v>44</v>
      </c>
      <c r="C4" t="s">
        <v>45</v>
      </c>
      <c r="D4" t="s">
        <v>46</v>
      </c>
      <c r="E4" t="s">
        <v>47</v>
      </c>
    </row>
    <row r="5" spans="1:5" ht="58" customHeight="1">
      <c r="A5" s="3" t="s">
        <v>48</v>
      </c>
      <c r="B5" s="3" t="s">
        <v>49</v>
      </c>
      <c r="C5" s="3" t="s">
        <v>50</v>
      </c>
      <c r="D5" s="3" t="s">
        <v>51</v>
      </c>
      <c r="E5" s="5" t="s">
        <v>52</v>
      </c>
    </row>
    <row r="6" spans="1:5" ht="58" customHeight="1">
      <c r="A6" s="3" t="s">
        <v>13</v>
      </c>
      <c r="B6" s="3" t="s">
        <v>53</v>
      </c>
      <c r="C6" s="3" t="s">
        <v>54</v>
      </c>
      <c r="D6" s="3" t="s">
        <v>55</v>
      </c>
      <c r="E6" s="5" t="s">
        <v>56</v>
      </c>
    </row>
    <row r="7" spans="1:5" ht="58" customHeight="1">
      <c r="A7" s="3" t="s">
        <v>16</v>
      </c>
      <c r="B7" s="3" t="s">
        <v>57</v>
      </c>
      <c r="C7" s="3" t="s">
        <v>58</v>
      </c>
      <c r="D7" s="3" t="s">
        <v>59</v>
      </c>
      <c r="E7" s="5" t="s">
        <v>56</v>
      </c>
    </row>
    <row r="8" spans="1:5" ht="58" customHeight="1">
      <c r="A8" s="3" t="s">
        <v>18</v>
      </c>
      <c r="B8" s="3" t="s">
        <v>60</v>
      </c>
      <c r="C8" s="3" t="s">
        <v>61</v>
      </c>
      <c r="D8" s="3" t="s">
        <v>62</v>
      </c>
      <c r="E8" s="5" t="s">
        <v>63</v>
      </c>
    </row>
    <row r="9" spans="1:5" ht="58" customHeight="1">
      <c r="A9" s="3" t="s">
        <v>20</v>
      </c>
      <c r="B9" s="3" t="s">
        <v>64</v>
      </c>
      <c r="C9" s="3" t="s">
        <v>65</v>
      </c>
      <c r="D9" s="3" t="s">
        <v>66</v>
      </c>
      <c r="E9" s="5" t="s">
        <v>67</v>
      </c>
    </row>
    <row r="10" spans="1:5" ht="58" customHeight="1">
      <c r="A10" s="3" t="s">
        <v>22</v>
      </c>
      <c r="B10" s="3" t="s">
        <v>68</v>
      </c>
      <c r="C10" s="3" t="s">
        <v>69</v>
      </c>
      <c r="D10" s="3" t="s">
        <v>70</v>
      </c>
      <c r="E10" s="5" t="s">
        <v>71</v>
      </c>
    </row>
  </sheetData>
  <mergeCells count="2">
    <mergeCell ref="A1:E1"/>
    <mergeCell ref="A2:E2"/>
  </mergeCells>
  <pageMargins left="0.35" right="0.35" top="0.5" bottom="0.5" header="0.3" footer="0.3"/>
  <pageSetup fitToHeight="0" orientation="landscape"/>
  <headerFooter>
    <oddHeader>&amp;L&amp;"Microsoft JhengHei,Bold"希望之光｜一人工作室簡易產品介紹&amp;R希望之光</oddHeader>
    <oddFooter>&amp;C第 &amp;P / &amp;N 頁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簡易報價</vt:lpstr>
      <vt:lpstr>簡易庫存</vt:lpstr>
      <vt:lpstr>簡易介紹</vt:lpstr>
      <vt:lpstr>簡易介紹!Print_Titles</vt:lpstr>
      <vt:lpstr>簡易報價!Print_Titles</vt:lpstr>
      <vt:lpstr>簡易庫存!Print_Titles</vt:lpstr>
    </vt:vector>
  </TitlesOfParts>
  <Company>希望之光 Hope Light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希望之光一人工作室簡易產品表</dc:title>
  <dc:subject>報價、盤點與產品說法</dc:subject>
  <dc:creator>[Codex]</dc:creator>
  <cp:lastModifiedBy>[Codex]</cp:lastModifiedBy>
  <dcterms:created xsi:type="dcterms:W3CDTF">2026-08-09T11:10:36Z</dcterms:created>
  <dcterms:modified xsi:type="dcterms:W3CDTF">2026-08-09T11:10:36Z</dcterms:modified>
</cp:coreProperties>
</file>